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defaultThemeVersion="166925"/>
  <mc:AlternateContent xmlns:mc="http://schemas.openxmlformats.org/markup-compatibility/2006">
    <mc:Choice Requires="x15">
      <x15ac:absPath xmlns:x15ac="http://schemas.microsoft.com/office/spreadsheetml/2010/11/ac" url="https://d.docs.live.net/42cde0a29b1014f5/Volunteer Efforts/00_ASCE/C4/2026 Society/2026 RFP Package/"/>
    </mc:Choice>
  </mc:AlternateContent>
  <xr:revisionPtr revIDLastSave="0" documentId="8_{3D37A660-F8AE-4B64-BC92-0B8FBC7EC7C2}" xr6:coauthVersionLast="47" xr6:coauthVersionMax="47" xr10:uidLastSave="{00000000-0000-0000-0000-000000000000}"/>
  <workbookProtection workbookAlgorithmName="SHA-512" workbookHashValue="FPyafe60VaYZTIGGi+WENCccLd5lEm3pGdVP1DtdOVhMC99NE1DlhSkJICH0OrXT776u9eUYor6u/ikxU980Xw==" workbookSaltValue="O4ZTtJ8g4jGPbYyYBKSmww==" workbookSpinCount="100000" lockStructure="1"/>
  <bookViews>
    <workbookView xWindow="-28920" yWindow="-120" windowWidth="29040" windowHeight="15720" firstSheet="2" activeTab="2" xr2:uid="{00000000-000D-0000-FFFF-FFFF00000000}"/>
  </bookViews>
  <sheets>
    <sheet name="Mix 1" sheetId="4" r:id="rId1"/>
    <sheet name="Mix 2" sheetId="7" r:id="rId2"/>
    <sheet name="Mix 3" sheetId="8" r:id="rId3"/>
    <sheet name="BACKEND" sheetId="6" state="hidden" r:id="rId4"/>
  </sheets>
  <definedNames>
    <definedName name="Admixtures">BACKEND!$F$18:$F$22</definedName>
    <definedName name="Aggregates">BACKEND!$F$16</definedName>
    <definedName name="Cementitious_Materials">BACKEND!$F$7:$F$15</definedName>
    <definedName name="DisplayNames">BACKEND!$M$10:$M$19</definedName>
    <definedName name="Flotation">BACKEND!$F$29</definedName>
    <definedName name="Graphics">BACKEND!$F$25</definedName>
    <definedName name="Other">BACKEND!$F$30</definedName>
    <definedName name="Primary_Reinforcing">BACKEND!$F$26:$F$28</definedName>
    <definedName name="_xlnm.Print_Area" localSheetId="0">'Mix 1'!$A$1:$P$116</definedName>
    <definedName name="_xlnm.Print_Area" localSheetId="1">'Mix 2'!$A$1:$P$116</definedName>
    <definedName name="_xlnm.Print_Area" localSheetId="2">'Mix 3'!$A$1:$P$116</definedName>
    <definedName name="Prohibited_Materials">BACKEND!$F$31:$F$34</definedName>
    <definedName name="Sealers">BACKEND!$F$23:$F$24</definedName>
    <definedName name="Secondary_Reinforcing">BACKEND!$F$17</definedName>
    <definedName name="Z_485925E6_5A0B_44C1_BB41_2DC25AF8CB64_.wvu.Cols" localSheetId="0" hidden="1">'Mix 1'!$A:$A</definedName>
    <definedName name="Z_485925E6_5A0B_44C1_BB41_2DC25AF8CB64_.wvu.Cols" localSheetId="1" hidden="1">'Mix 2'!$A:$A</definedName>
    <definedName name="Z_485925E6_5A0B_44C1_BB41_2DC25AF8CB64_.wvu.Cols" localSheetId="2" hidden="1">'Mix 3'!$A:$A</definedName>
    <definedName name="Z_485925E6_5A0B_44C1_BB41_2DC25AF8CB64_.wvu.PrintArea" localSheetId="0" hidden="1">'Mix 1'!$M$1:$P$116</definedName>
    <definedName name="Z_485925E6_5A0B_44C1_BB41_2DC25AF8CB64_.wvu.PrintArea" localSheetId="1" hidden="1">'Mix 2'!$M$1:$P$116</definedName>
    <definedName name="Z_485925E6_5A0B_44C1_BB41_2DC25AF8CB64_.wvu.PrintArea" localSheetId="2" hidden="1">'Mix 3'!$M$1:$P$116</definedName>
    <definedName name="Z_7200144D_AE9B_4E11_8BC6_1D9089121434_.wvu.Cols" localSheetId="0" hidden="1">'Mix 1'!$A:$A</definedName>
    <definedName name="Z_7200144D_AE9B_4E11_8BC6_1D9089121434_.wvu.Cols" localSheetId="1" hidden="1">'Mix 2'!$A:$A</definedName>
    <definedName name="Z_7200144D_AE9B_4E11_8BC6_1D9089121434_.wvu.Cols" localSheetId="2" hidden="1">'Mix 3'!$A:$A</definedName>
    <definedName name="Z_7200144D_AE9B_4E11_8BC6_1D9089121434_.wvu.PrintArea" localSheetId="0" hidden="1">'Mix 1'!$A$1:$L$116</definedName>
    <definedName name="Z_7200144D_AE9B_4E11_8BC6_1D9089121434_.wvu.PrintArea" localSheetId="1" hidden="1">'Mix 2'!$A$1:$L$116</definedName>
    <definedName name="Z_7200144D_AE9B_4E11_8BC6_1D9089121434_.wvu.PrintArea" localSheetId="2" hidden="1">'Mix 3'!$A$1:$L$116</definedName>
    <definedName name="Z_E7B40C15_71E1_4B18_97CD_B27D3BA93EEF_.wvu.Cols" localSheetId="0" hidden="1">'Mix 1'!$A:$A</definedName>
    <definedName name="Z_E7B40C15_71E1_4B18_97CD_B27D3BA93EEF_.wvu.Cols" localSheetId="1" hidden="1">'Mix 2'!$A:$A</definedName>
    <definedName name="Z_E7B40C15_71E1_4B18_97CD_B27D3BA93EEF_.wvu.Cols" localSheetId="2" hidden="1">'Mix 3'!$A:$A</definedName>
    <definedName name="Z_E7B40C15_71E1_4B18_97CD_B27D3BA93EEF_.wvu.PrintArea" localSheetId="0" hidden="1">'Mix 1'!$A$1:$P$116</definedName>
    <definedName name="Z_E7B40C15_71E1_4B18_97CD_B27D3BA93EEF_.wvu.PrintArea" localSheetId="1" hidden="1">'Mix 2'!$A$1:$P$116</definedName>
    <definedName name="Z_E7B40C15_71E1_4B18_97CD_B27D3BA93EEF_.wvu.PrintArea" localSheetId="2" hidden="1">'Mix 3'!$A$1:$P$116</definedName>
  </definedNames>
  <calcPr calcId="191028"/>
  <customWorkbookViews>
    <customWorkbookView name="Mix Design" guid="{7200144D-AE9B-4E11-8BC6-1D9089121434}" maximized="1" xWindow="1912" yWindow="-8" windowWidth="1936" windowHeight="1048" activeSheetId="4"/>
    <customWorkbookView name="MTDS" guid="{485925E6-5A0B-44C1-BB41-2DC25AF8CB64}" maximized="1" xWindow="1912" yWindow="-8" windowWidth="1936" windowHeight="1048" activeSheetId="4"/>
    <customWorkbookView name="All Data" guid="{E7B40C15-71E1-4B18-97CD-B27D3BA93EEF}" maximized="1" xWindow="1912" yWindow="-8" windowWidth="1936" windowHeight="1048" activeSheetId="4"/>
  </customWorkbookView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1" i="7" l="1"/>
  <c r="J31" i="7"/>
  <c r="H31" i="7"/>
  <c r="G30" i="4"/>
  <c r="H30" i="4"/>
  <c r="J30" i="4"/>
  <c r="K30" i="4"/>
  <c r="J31" i="8"/>
  <c r="K31" i="8"/>
  <c r="H31" i="8"/>
  <c r="G31" i="8"/>
  <c r="I72" i="8"/>
  <c r="I71" i="8"/>
  <c r="G71" i="8"/>
  <c r="K30" i="8"/>
  <c r="J30" i="8"/>
  <c r="K29" i="8"/>
  <c r="J29" i="8"/>
  <c r="K28" i="8"/>
  <c r="H72" i="8" s="1"/>
  <c r="J28" i="8"/>
  <c r="H71" i="8" s="1"/>
  <c r="H30" i="8"/>
  <c r="H29" i="8"/>
  <c r="H28" i="8"/>
  <c r="J24" i="8"/>
  <c r="G22" i="8"/>
  <c r="G72" i="8" s="1"/>
  <c r="J7" i="8"/>
  <c r="J15" i="8"/>
  <c r="J13" i="8"/>
  <c r="G14" i="8"/>
  <c r="G13" i="8"/>
  <c r="G7" i="8"/>
  <c r="F72" i="8" s="1"/>
  <c r="K29" i="7"/>
  <c r="K28" i="7"/>
  <c r="J30" i="7"/>
  <c r="J29" i="7"/>
  <c r="J28" i="7"/>
  <c r="H29" i="7"/>
  <c r="H28" i="7"/>
  <c r="G30" i="7"/>
  <c r="I67" i="7"/>
  <c r="G71" i="7"/>
  <c r="H71" i="7"/>
  <c r="I71" i="7"/>
  <c r="I72" i="7"/>
  <c r="J24" i="7"/>
  <c r="G22" i="7"/>
  <c r="G72" i="7" s="1"/>
  <c r="J7" i="7"/>
  <c r="J13" i="7"/>
  <c r="J14" i="7"/>
  <c r="J15" i="7"/>
  <c r="G13" i="7"/>
  <c r="G14" i="7"/>
  <c r="G7" i="7"/>
  <c r="J58" i="4"/>
  <c r="J24" i="4"/>
  <c r="J15" i="4"/>
  <c r="J13" i="4"/>
  <c r="J7" i="4"/>
  <c r="I72" i="4"/>
  <c r="I71" i="4"/>
  <c r="G71" i="4"/>
  <c r="K31" i="4"/>
  <c r="J31" i="4"/>
  <c r="H31" i="4"/>
  <c r="K29" i="4"/>
  <c r="J29" i="4"/>
  <c r="H29" i="4"/>
  <c r="K28" i="4"/>
  <c r="J28" i="4"/>
  <c r="H28" i="4"/>
  <c r="G22" i="4"/>
  <c r="G72" i="4" s="1"/>
  <c r="G14" i="4"/>
  <c r="G13" i="4"/>
  <c r="G7" i="4"/>
  <c r="K30" i="7" l="1"/>
  <c r="H72" i="7" s="1"/>
  <c r="H30" i="7"/>
  <c r="J14" i="8"/>
  <c r="I66" i="8"/>
  <c r="J17" i="8"/>
  <c r="F71" i="8"/>
  <c r="I67" i="8"/>
  <c r="D66" i="8"/>
  <c r="J66" i="8"/>
  <c r="J72" i="8" s="1"/>
  <c r="K72" i="8" s="1"/>
  <c r="F74" i="8" s="1"/>
  <c r="F72" i="7"/>
  <c r="I66" i="7"/>
  <c r="D66" i="7" s="1"/>
  <c r="F71" i="7"/>
  <c r="J17" i="7"/>
  <c r="F71" i="4"/>
  <c r="H72" i="4"/>
  <c r="F72" i="4"/>
  <c r="J17" i="4"/>
  <c r="I66" i="4"/>
  <c r="J14" i="4"/>
  <c r="H71" i="4"/>
  <c r="I67" i="4"/>
  <c r="D66" i="4"/>
  <c r="J66" i="4"/>
  <c r="J72" i="4" s="1"/>
  <c r="K72" i="4"/>
  <c r="I45" i="7" l="1"/>
  <c r="I46" i="7"/>
  <c r="I47" i="7"/>
  <c r="I47" i="8"/>
  <c r="I46" i="8"/>
  <c r="I45" i="8"/>
  <c r="J48" i="8" s="1"/>
  <c r="I68" i="8" s="1"/>
  <c r="I69" i="8" s="1"/>
  <c r="J71" i="8" s="1"/>
  <c r="K71" i="8" s="1"/>
  <c r="F73" i="8" s="1"/>
  <c r="I75" i="8" s="1"/>
  <c r="J66" i="7"/>
  <c r="J72" i="7" s="1"/>
  <c r="K72" i="7"/>
  <c r="F74" i="7" s="1"/>
  <c r="F74" i="4"/>
  <c r="I47" i="4"/>
  <c r="I46" i="4"/>
  <c r="I45" i="4"/>
  <c r="J48" i="4" s="1"/>
  <c r="I68" i="4" s="1"/>
  <c r="I69" i="4" s="1"/>
  <c r="J71" i="4"/>
  <c r="K71" i="4" s="1"/>
  <c r="F73" i="4" s="1"/>
  <c r="I75" i="4" s="1"/>
  <c r="J48" i="7" l="1"/>
  <c r="I68" i="7" s="1"/>
  <c r="I69" i="7" s="1"/>
  <c r="J71" i="7" s="1"/>
  <c r="K71" i="7" s="1"/>
  <c r="F73" i="7" s="1"/>
  <c r="I75" i="7" s="1"/>
</calcChain>
</file>

<file path=xl/sharedStrings.xml><?xml version="1.0" encoding="utf-8"?>
<sst xmlns="http://schemas.openxmlformats.org/spreadsheetml/2006/main" count="838" uniqueCount="198">
  <si>
    <t>Values Given for 1 Cubic Yard of Concrete</t>
  </si>
  <si>
    <t>Calculated Value = Must use formulas to calculate in EXCEL</t>
  </si>
  <si>
    <t xml:space="preserve"> Field to enter values</t>
  </si>
  <si>
    <t>CEMENTITIOUS MATERIALS</t>
  </si>
  <si>
    <r>
      <t xml:space="preserve">Enter </t>
    </r>
    <r>
      <rPr>
        <b/>
        <sz val="11"/>
        <color theme="1"/>
        <rFont val="Aptos"/>
        <family val="2"/>
      </rPr>
      <t xml:space="preserve">SG </t>
    </r>
    <r>
      <rPr>
        <sz val="11"/>
        <color theme="1"/>
        <rFont val="Aptos"/>
        <family val="2"/>
      </rPr>
      <t xml:space="preserve">and </t>
    </r>
    <r>
      <rPr>
        <b/>
        <sz val="11"/>
        <color theme="1"/>
        <rFont val="Aptos"/>
        <family val="2"/>
      </rPr>
      <t>Amount</t>
    </r>
    <r>
      <rPr>
        <sz val="11"/>
        <color theme="1"/>
        <rFont val="Aptos"/>
        <family val="2"/>
      </rPr>
      <t xml:space="preserve"> for each CM
Volume, Total C, Total CM, c/cm and cwt should be computed
Value of cwt is used in computing water and solids from admixtures
</t>
    </r>
  </si>
  <si>
    <r>
      <rPr>
        <b/>
        <u/>
        <sz val="11"/>
        <color theme="1"/>
        <rFont val="Aptos"/>
        <family val="2"/>
      </rPr>
      <t>REQUIREMENTS PER EXHIBIT 5</t>
    </r>
    <r>
      <rPr>
        <sz val="11"/>
        <color theme="1"/>
        <rFont val="Aptos"/>
        <family val="2"/>
      </rPr>
      <t xml:space="preserve">
</t>
    </r>
    <r>
      <rPr>
        <b/>
        <sz val="11"/>
        <color theme="1"/>
        <rFont val="Aptos"/>
        <family val="2"/>
      </rPr>
      <t>Hydraulic Cement:</t>
    </r>
    <r>
      <rPr>
        <sz val="11"/>
        <color theme="1"/>
        <rFont val="Aptos"/>
        <family val="2"/>
      </rPr>
      <t xml:space="preserve">
1.  Maximum amount of hydraulic cement (c) in any concrete mixture must not exceed 40% (by mass) of the total cementitious materials (cm) content.
2.  Any type (or combination) of hydraulic cement may be used, provided it meets the following ASTM standard(s): ASTM C150, ASTM C595, ASTM C1157, or ASTM C845
</t>
    </r>
    <r>
      <rPr>
        <b/>
        <sz val="11"/>
        <color theme="1"/>
        <rFont val="Aptos"/>
        <family val="2"/>
      </rPr>
      <t>Hydrated Lime:</t>
    </r>
    <r>
      <rPr>
        <sz val="11"/>
        <color theme="1"/>
        <rFont val="Aptos"/>
        <family val="2"/>
      </rPr>
      <t xml:space="preserve">
1.  Maximum amount of hydrated lime in any concrete mixture must not exceed 5% (by mass), and the combined total of hydraulic cement and hydrated lime must not exceed 40%.
2.  Quicklime is not allowed in the canoe's construction.
3.  Hydrated lime must meet the following ASTM standard(s):
ASTM 207 (Type S or N) or ASTM C821
</t>
    </r>
    <r>
      <rPr>
        <b/>
        <sz val="11"/>
        <color theme="1"/>
        <rFont val="Aptos"/>
        <family val="2"/>
      </rPr>
      <t>Supplementary Cementitious Materials &amp; Pozzolans:</t>
    </r>
    <r>
      <rPr>
        <sz val="11"/>
        <color theme="1"/>
        <rFont val="Aptos"/>
        <family val="2"/>
      </rPr>
      <t xml:space="preserve">
1.  Supplementary cementitious materials and pozzolans must meet the following ASTM standard(s):
Coal Ash:  ASTM 618 (Class C or F)
Metakaolin, Calcined Clay, Ground Pumice, Pumicite, or Volcanic Ash Natural Pozzolan:  ASTM C618 (Class N)
Slag Cement:  ASTM C989 (Grade 80 minimum)
Silica Fume:  ASTM C1240
Ground-Glass Pozzolan:  ASTM C1866
Blended Supplementary Cementitious Material:  ASTM C1697
2.  Alternative cementitious materials and pozzolans evaluated under ASTM C1709 provisions are also allowed.</t>
    </r>
  </si>
  <si>
    <t>HYDRAULIC CEMENT</t>
  </si>
  <si>
    <t>Component</t>
  </si>
  <si>
    <t>Specifc Gravity</t>
  </si>
  <si>
    <t>Volume (cf)</t>
  </si>
  <si>
    <t>Amount  (lbs)</t>
  </si>
  <si>
    <t>MTDS Provided?</t>
  </si>
  <si>
    <t>Material Compliant?</t>
  </si>
  <si>
    <r>
      <t xml:space="preserve">Requirement Satisfied? </t>
    </r>
    <r>
      <rPr>
        <b/>
        <i/>
        <sz val="11"/>
        <color rgb="FFFF0000"/>
        <rFont val="Arial"/>
        <family val="2"/>
      </rPr>
      <t>(for offical's use only)</t>
    </r>
  </si>
  <si>
    <t>Officals Comments Only</t>
  </si>
  <si>
    <t>Portland Cement  (Type 4)</t>
  </si>
  <si>
    <t>Total C=</t>
  </si>
  <si>
    <t>lbs</t>
  </si>
  <si>
    <t>Enter Cement</t>
  </si>
  <si>
    <t>HYDRATED LIME</t>
  </si>
  <si>
    <t>Hydraulic Lime</t>
  </si>
  <si>
    <t>SCM/POZZOLAN</t>
  </si>
  <si>
    <t>Fly Ash (Type F)</t>
  </si>
  <si>
    <t>Total CM =</t>
  </si>
  <si>
    <t>Nippon Slag Cement</t>
  </si>
  <si>
    <t xml:space="preserve">c/cm = </t>
  </si>
  <si>
    <t>Hydraulic Lime/cm=</t>
  </si>
  <si>
    <t xml:space="preserve">cwt = </t>
  </si>
  <si>
    <t>SECONDARY REINFORCING (FIBERS)</t>
  </si>
  <si>
    <r>
      <t xml:space="preserve">Enter </t>
    </r>
    <r>
      <rPr>
        <b/>
        <sz val="11"/>
        <color theme="1"/>
        <rFont val="Aptos"/>
        <family val="2"/>
      </rPr>
      <t>SG</t>
    </r>
    <r>
      <rPr>
        <sz val="11"/>
        <color theme="1"/>
        <rFont val="Aptos"/>
        <family val="2"/>
      </rPr>
      <t xml:space="preserve"> and </t>
    </r>
    <r>
      <rPr>
        <b/>
        <sz val="11"/>
        <color theme="1"/>
        <rFont val="Aptos"/>
        <family val="2"/>
      </rPr>
      <t>Amount</t>
    </r>
    <r>
      <rPr>
        <sz val="11"/>
        <color theme="1"/>
        <rFont val="Aptos"/>
        <family val="2"/>
      </rPr>
      <t xml:space="preserve"> for each fiber
Volume and Total Fibers should be computed</t>
    </r>
  </si>
  <si>
    <r>
      <rPr>
        <b/>
        <u/>
        <sz val="11"/>
        <color theme="1"/>
        <rFont val="Aptos"/>
        <family val="2"/>
      </rPr>
      <t>REQUIREMENTS PER EXHIBIT 5</t>
    </r>
    <r>
      <rPr>
        <sz val="11"/>
        <color theme="1"/>
        <rFont val="Aptos"/>
        <family val="2"/>
      </rPr>
      <t xml:space="preserve">
1.  Fibers must be considered as secondary reinforcement and dispersed within the concrete matrix.
2.  Fibers must comply with the following ASTM standard: ASTM C1116</t>
    </r>
  </si>
  <si>
    <t>Amount (lbs)</t>
  </si>
  <si>
    <t>Fibers</t>
  </si>
  <si>
    <t>Enter Fiber</t>
  </si>
  <si>
    <t>Total Fibers</t>
  </si>
  <si>
    <t>AGGREGATES</t>
  </si>
  <si>
    <r>
      <t xml:space="preserve">Enter </t>
    </r>
    <r>
      <rPr>
        <b/>
        <sz val="11"/>
        <color theme="1"/>
        <rFont val="Aptos"/>
        <family val="2"/>
      </rPr>
      <t>Absoprtion</t>
    </r>
    <r>
      <rPr>
        <sz val="11"/>
        <color theme="1"/>
        <rFont val="Aptos"/>
        <family val="2"/>
      </rPr>
      <t xml:space="preserve"> as a number (i.e., for 15%, enter 15)
Enter SGOD and AmountOD,  The values of SGSSD, AmountSSD and Volume will be automatically computed
Volume is computed by [AmountOD / (SGOD x 62.4)] and is equivalent to [AmountSSD / (SGSSD x 62.4)]</t>
    </r>
  </si>
  <si>
    <r>
      <rPr>
        <b/>
        <u/>
        <sz val="11"/>
        <color theme="1"/>
        <rFont val="Aptos"/>
        <family val="2"/>
      </rPr>
      <t>REQUIREMENTS PER EXHIBIT 5</t>
    </r>
    <r>
      <rPr>
        <sz val="11"/>
        <color theme="1"/>
        <rFont val="Aptos"/>
        <family val="2"/>
      </rPr>
      <t xml:space="preserve">
1.  The total aggregate volume must constitute at least 35% of the total volume of any concrete mixture, regardless of the source.
2.  Teams must conduct a sieve analysis and provide a particle size distribution table for each individual aggregate as received, as well as for the composite aggregate used in each mix, following ASTM C136.
3.  If aggregates are sieved and recombined into a specific distribution, this must be clearly stated in the report, along with the original gradation as received and the final composite aggregate from all sources.
4.  The particle size distribution and table must be tested and created by the team (not provided by the aggregate supplier) and included in the team’s aggregate product information in their Materials Notebook.</t>
    </r>
  </si>
  <si>
    <t>Aggregate</t>
  </si>
  <si>
    <t>Absorption (%)</t>
  </si>
  <si>
    <r>
      <t>SG</t>
    </r>
    <r>
      <rPr>
        <vertAlign val="subscript"/>
        <sz val="11"/>
        <color theme="1"/>
        <rFont val="Aptos"/>
        <family val="2"/>
      </rPr>
      <t>OD</t>
    </r>
  </si>
  <si>
    <r>
      <t>SG</t>
    </r>
    <r>
      <rPr>
        <vertAlign val="subscript"/>
        <sz val="11"/>
        <color theme="1"/>
        <rFont val="Aptos"/>
        <family val="2"/>
      </rPr>
      <t>SSD</t>
    </r>
  </si>
  <si>
    <t>Amount OD (lbs)</t>
  </si>
  <si>
    <t>Amount SSD (lbs)</t>
  </si>
  <si>
    <t>Yes</t>
  </si>
  <si>
    <t>Lightweight Aggregate</t>
  </si>
  <si>
    <t>No</t>
  </si>
  <si>
    <t>Aero Aggregate</t>
  </si>
  <si>
    <t>Poraver</t>
  </si>
  <si>
    <t>K1 Bubbles</t>
  </si>
  <si>
    <t>Enter Aggregate</t>
  </si>
  <si>
    <t>ADMIXTURES</t>
  </si>
  <si>
    <r>
      <t xml:space="preserve">Enter % </t>
    </r>
    <r>
      <rPr>
        <b/>
        <sz val="11"/>
        <color theme="1"/>
        <rFont val="Aptos"/>
        <family val="2"/>
      </rPr>
      <t>Solids</t>
    </r>
    <r>
      <rPr>
        <sz val="11"/>
        <color theme="1"/>
        <rFont val="Aptos"/>
        <family val="2"/>
      </rPr>
      <t xml:space="preserve"> as a number (i.e., for 15%, enter 15)
Enter lb/gal and dosage (fl oz / cwt).  The Amount Water and Total Water will be automatically computed
If liquid dye is used, then its SG, Volume and Amount will automatically be computed
Enter SG and Amount for each Admixture (powder form)
Volume and Total Solids should be calculated</t>
    </r>
  </si>
  <si>
    <r>
      <rPr>
        <b/>
        <u/>
        <sz val="11"/>
        <color theme="1"/>
        <rFont val="Aptos"/>
        <family val="2"/>
      </rPr>
      <t>REQUIREMENTS PER EXHIBIT 5</t>
    </r>
    <r>
      <rPr>
        <sz val="11"/>
        <color theme="1"/>
        <rFont val="Aptos"/>
        <family val="2"/>
      </rPr>
      <t xml:space="preserve">
1.  Admixtures must comply with the following ASTM standard(s):
     Water-Reducing &amp; Set Control:  ASTM C494
     Air-Entraining:  ASTM C260
     Coloring Admixture/Agents &amp; Concrete Pigments:  ASTM C979
     Specialty Admixtures:  ASTM C494 (Type S)
     Latex Emulsions:  ASTM C1438
2.  Latex emulsions can be used in either re-dispersible powder form or as a liquid formulated for use with hydraulic cements that meet ASTM C1438 Type II requirements. They must be accounted for in mass and volume calculations during mixture proportioning to ensure proper concrete yield. While latex emulsions can be added to concrete mixtures, they cannot be used as bonding adhesives. Other bonding adhesives (ASTM C1059) are prohibited. When used, latex emulsions are limited to a solid powder or dehydrated liquid equivalent of no more than 100 lb/yd³ of concrete.
3.  Epoxy resins, curing agents, asphalt emulsions, or similar materials are not considered specialty admixtures and are strictly prohibited.
4.  See section 6.7.2 for concrete coloring agents, pigments, and use of concrete stains.
5.  The solids content of dyes and powder admixtures must be included in the determination of total solids content. Contributions from other admixtures can be disregarded.</t>
    </r>
  </si>
  <si>
    <t>ADMIXTURES (liquid form only)</t>
  </si>
  <si>
    <t>Admixtures</t>
  </si>
  <si>
    <t>lb/gal</t>
  </si>
  <si>
    <t>dose (fl oz/cwt)</t>
  </si>
  <si>
    <t>% solids</t>
  </si>
  <si>
    <t>Amount Water (lbs)</t>
  </si>
  <si>
    <t>MasterGlenium 7500 (HRWR)</t>
  </si>
  <si>
    <t>MasterAir AE 200 (AEA)</t>
  </si>
  <si>
    <t>MasterSet DELVO (Retarder)</t>
  </si>
  <si>
    <t>Total Water from Admixtures</t>
  </si>
  <si>
    <t>Enter Liquid Admixture</t>
  </si>
  <si>
    <t>SOLIDS (Powdered Admixtures or Fillers)</t>
  </si>
  <si>
    <t>Solids</t>
  </si>
  <si>
    <t>Specific Gravity</t>
  </si>
  <si>
    <t>Enter Fillers, Powder Admixtures</t>
  </si>
  <si>
    <t>Total Solids from Admixtures</t>
  </si>
  <si>
    <t>WATER</t>
  </si>
  <si>
    <t>w/c ratio</t>
  </si>
  <si>
    <t>Water =  w/cm  * cm</t>
  </si>
  <si>
    <r>
      <rPr>
        <b/>
        <sz val="11"/>
        <color theme="1"/>
        <rFont val="Aptos"/>
        <family val="2"/>
      </rPr>
      <t>Water</t>
    </r>
    <r>
      <rPr>
        <sz val="11"/>
        <color theme="1"/>
        <rFont val="Aptos"/>
        <family val="2"/>
      </rPr>
      <t xml:space="preserve"> is computed from w/cm ratio and amount of cm</t>
    </r>
  </si>
  <si>
    <t>w/cm ratio</t>
  </si>
  <si>
    <t xml:space="preserve">Free Water from Aggregate </t>
  </si>
  <si>
    <r>
      <rPr>
        <b/>
        <sz val="11"/>
        <color theme="1"/>
        <rFont val="Aptos"/>
        <family val="2"/>
      </rPr>
      <t xml:space="preserve">Volume </t>
    </r>
    <r>
      <rPr>
        <sz val="11"/>
        <color theme="1"/>
        <rFont val="Aptos"/>
        <family val="2"/>
      </rPr>
      <t>will be automatically computed</t>
    </r>
  </si>
  <si>
    <t>Free Water from Admixture</t>
  </si>
  <si>
    <r>
      <t xml:space="preserve">Enter </t>
    </r>
    <r>
      <rPr>
        <b/>
        <sz val="11"/>
        <color theme="1"/>
        <rFont val="Aptos"/>
        <family val="2"/>
      </rPr>
      <t>Free Water from Aggregate</t>
    </r>
    <r>
      <rPr>
        <i/>
        <sz val="11"/>
        <color theme="1"/>
        <rFont val="Aptos"/>
        <family val="2"/>
      </rPr>
      <t xml:space="preserve"> (this can be a negative value)</t>
    </r>
  </si>
  <si>
    <t>Batch Water</t>
  </si>
  <si>
    <r>
      <t>Water = Free Water</t>
    </r>
    <r>
      <rPr>
        <i/>
        <vertAlign val="subscript"/>
        <sz val="11"/>
        <color theme="1"/>
        <rFont val="Aptos"/>
        <family val="2"/>
      </rPr>
      <t>agg</t>
    </r>
    <r>
      <rPr>
        <i/>
        <sz val="11"/>
        <color theme="1"/>
        <rFont val="Aptos"/>
        <family val="2"/>
      </rPr>
      <t xml:space="preserve"> + Free Water</t>
    </r>
    <r>
      <rPr>
        <i/>
        <vertAlign val="subscript"/>
        <sz val="11"/>
        <color theme="1"/>
        <rFont val="Aptos"/>
        <family val="2"/>
      </rPr>
      <t>Admix</t>
    </r>
    <r>
      <rPr>
        <i/>
        <sz val="11"/>
        <color theme="1"/>
        <rFont val="Aptos"/>
        <family val="2"/>
      </rPr>
      <t xml:space="preserve"> + Batch Water</t>
    </r>
  </si>
  <si>
    <t>cm</t>
  </si>
  <si>
    <t>fiber</t>
  </si>
  <si>
    <t>aggregate (SSD)</t>
  </si>
  <si>
    <t xml:space="preserve">solids </t>
  </si>
  <si>
    <t>water</t>
  </si>
  <si>
    <t>Totals</t>
  </si>
  <si>
    <t>Mass (lbs)</t>
  </si>
  <si>
    <t>M</t>
  </si>
  <si>
    <r>
      <t xml:space="preserve">The </t>
    </r>
    <r>
      <rPr>
        <b/>
        <sz val="11"/>
        <color theme="1"/>
        <rFont val="Aptos"/>
        <family val="2"/>
      </rPr>
      <t>Mass</t>
    </r>
    <r>
      <rPr>
        <sz val="11"/>
        <color theme="1"/>
        <rFont val="Aptos"/>
        <family val="2"/>
      </rPr>
      <t xml:space="preserve"> are the summation of the </t>
    </r>
    <r>
      <rPr>
        <b/>
        <sz val="11"/>
        <color theme="1"/>
        <rFont val="Aptos"/>
        <family val="2"/>
      </rPr>
      <t>Amounts</t>
    </r>
    <r>
      <rPr>
        <sz val="11"/>
        <color theme="1"/>
        <rFont val="Aptos"/>
        <family val="2"/>
      </rPr>
      <t xml:space="preserve"> computed above</t>
    </r>
  </si>
  <si>
    <t>V</t>
  </si>
  <si>
    <r>
      <t xml:space="preserve">The </t>
    </r>
    <r>
      <rPr>
        <b/>
        <sz val="11"/>
        <color theme="1"/>
        <rFont val="Aptos"/>
        <family val="2"/>
      </rPr>
      <t>Volumes</t>
    </r>
    <r>
      <rPr>
        <sz val="11"/>
        <color theme="1"/>
        <rFont val="Aptos"/>
        <family val="2"/>
      </rPr>
      <t xml:space="preserve"> are the summation of the </t>
    </r>
    <r>
      <rPr>
        <b/>
        <sz val="11"/>
        <color theme="1"/>
        <rFont val="Aptos"/>
        <family val="2"/>
      </rPr>
      <t>Volumes</t>
    </r>
    <r>
      <rPr>
        <sz val="11"/>
        <color theme="1"/>
        <rFont val="Aptos"/>
        <family val="2"/>
      </rPr>
      <t xml:space="preserve"> computed above</t>
    </r>
  </si>
  <si>
    <t>Theoretical Density (pcf)</t>
  </si>
  <si>
    <t>D = M/27</t>
  </si>
  <si>
    <r>
      <rPr>
        <b/>
        <sz val="11"/>
        <color theme="1"/>
        <rFont val="Aptos"/>
        <family val="2"/>
      </rPr>
      <t>Theoretical Density</t>
    </r>
    <r>
      <rPr>
        <sz val="11"/>
        <color theme="1"/>
        <rFont val="Aptos"/>
        <family val="2"/>
      </rPr>
      <t xml:space="preserve"> is computed based on the Mass and Volume</t>
    </r>
  </si>
  <si>
    <t>Total Aggregate Ratio</t>
  </si>
  <si>
    <t>Theoretical Air Content</t>
  </si>
  <si>
    <t>%</t>
  </si>
  <si>
    <t>Measured Properties</t>
  </si>
  <si>
    <t>Measured Mix Density</t>
  </si>
  <si>
    <r>
      <t>lb/ft</t>
    </r>
    <r>
      <rPr>
        <vertAlign val="superscript"/>
        <sz val="11"/>
        <color theme="1"/>
        <rFont val="Aptos"/>
        <family val="2"/>
      </rPr>
      <t>3</t>
    </r>
  </si>
  <si>
    <r>
      <rPr>
        <b/>
        <sz val="11"/>
        <color theme="1"/>
        <rFont val="Aptos"/>
        <family val="2"/>
      </rPr>
      <t>Measured Mix Density</t>
    </r>
    <r>
      <rPr>
        <sz val="11"/>
        <color theme="1"/>
        <rFont val="Aptos"/>
        <family val="2"/>
      </rPr>
      <t xml:space="preserve"> is calculated from weighed cylinder</t>
    </r>
  </si>
  <si>
    <t>Reported Air Content</t>
  </si>
  <si>
    <r>
      <rPr>
        <b/>
        <sz val="11"/>
        <color theme="1"/>
        <rFont val="Aptos"/>
        <family val="2"/>
      </rPr>
      <t>Air content</t>
    </r>
    <r>
      <rPr>
        <sz val="11"/>
        <color theme="1"/>
        <rFont val="Aptos"/>
        <family val="2"/>
      </rPr>
      <t xml:space="preserve"> is reported</t>
    </r>
  </si>
  <si>
    <t>PRIMARY REINFORCING (Meshes &amp; Grids, Strands, Tendons, &amp; Bars, Bearing Plates &amp; Fasteners)</t>
  </si>
  <si>
    <r>
      <rPr>
        <b/>
        <u/>
        <sz val="11"/>
        <color theme="1"/>
        <rFont val="Aptos"/>
        <family val="2"/>
      </rPr>
      <t>REQUIREMENTS PER EXHIBIT 5</t>
    </r>
    <r>
      <rPr>
        <b/>
        <sz val="11"/>
        <color theme="1"/>
        <rFont val="Aptos"/>
        <family val="2"/>
      </rPr>
      <t xml:space="preserve">
Meshes &amp; Grids:</t>
    </r>
    <r>
      <rPr>
        <sz val="11"/>
        <color theme="1"/>
        <rFont val="Aptos"/>
        <family val="2"/>
      </rPr>
      <t xml:space="preserve">
</t>
    </r>
    <r>
      <rPr>
        <b/>
        <sz val="11"/>
        <color theme="1"/>
        <rFont val="Aptos"/>
        <family val="2"/>
      </rPr>
      <t xml:space="preserve">1.  </t>
    </r>
    <r>
      <rPr>
        <sz val="11"/>
        <color theme="1"/>
        <rFont val="Aptos"/>
        <family val="2"/>
      </rPr>
      <t xml:space="preserve">Must satisfy percent open area (POA) requirements.
</t>
    </r>
    <r>
      <rPr>
        <b/>
        <sz val="11"/>
        <color theme="1"/>
        <rFont val="Aptos"/>
        <family val="2"/>
      </rPr>
      <t>2.</t>
    </r>
    <r>
      <rPr>
        <sz val="11"/>
        <color theme="1"/>
        <rFont val="Aptos"/>
        <family val="2"/>
      </rPr>
      <t xml:space="preserve">  Pre-impregnated (pre-preg) materials containing resins that heat for polymerization are prohibited.
</t>
    </r>
    <r>
      <rPr>
        <b/>
        <sz val="11"/>
        <color theme="1"/>
        <rFont val="Aptos"/>
        <family val="2"/>
      </rPr>
      <t>3.</t>
    </r>
    <r>
      <rPr>
        <sz val="11"/>
        <color theme="1"/>
        <rFont val="Aptos"/>
        <family val="2"/>
      </rPr>
      <t xml:space="preserve">  Solid mats or plates used for reinforcement are not allowed.
</t>
    </r>
    <r>
      <rPr>
        <b/>
        <sz val="11"/>
        <color theme="1"/>
        <rFont val="Aptos"/>
        <family val="2"/>
      </rPr>
      <t>Strands, Tendons, &amp; Bars:</t>
    </r>
    <r>
      <rPr>
        <sz val="11"/>
        <color theme="1"/>
        <rFont val="Aptos"/>
        <family val="2"/>
      </rPr>
      <t xml:space="preserve">
</t>
    </r>
    <r>
      <rPr>
        <b/>
        <sz val="11"/>
        <color theme="1"/>
        <rFont val="Aptos"/>
        <family val="2"/>
      </rPr>
      <t>1.</t>
    </r>
    <r>
      <rPr>
        <sz val="11"/>
        <color theme="1"/>
        <rFont val="Aptos"/>
        <family val="2"/>
      </rPr>
      <t xml:space="preserve">  Materials less than 1/2" wide used to make a reinforcing grid OR used in pre- or post-tensioning.
</t>
    </r>
    <r>
      <rPr>
        <b/>
        <sz val="11"/>
        <color theme="1"/>
        <rFont val="Aptos"/>
        <family val="2"/>
      </rPr>
      <t xml:space="preserve">2. </t>
    </r>
    <r>
      <rPr>
        <sz val="11"/>
        <color theme="1"/>
        <rFont val="Aptos"/>
        <family val="2"/>
      </rPr>
      <t xml:space="preserve"> When used individually, must meet thickness requirements but are not subject to percent open area requirements.
</t>
    </r>
    <r>
      <rPr>
        <b/>
        <sz val="11"/>
        <color theme="1"/>
        <rFont val="Aptos"/>
        <family val="2"/>
      </rPr>
      <t>3.</t>
    </r>
    <r>
      <rPr>
        <sz val="11"/>
        <color theme="1"/>
        <rFont val="Aptos"/>
        <family val="2"/>
      </rPr>
      <t xml:space="preserve">  Grids consisting of strands, tendons, and bars are subject to thickness requirements and percent open area requirements.
</t>
    </r>
    <r>
      <rPr>
        <b/>
        <sz val="11"/>
        <color theme="1"/>
        <rFont val="Aptos"/>
        <family val="2"/>
      </rPr>
      <t>Bearing Plates &amp; Fasteners:</t>
    </r>
    <r>
      <rPr>
        <sz val="11"/>
        <color theme="1"/>
        <rFont val="Aptos"/>
        <family val="2"/>
      </rPr>
      <t xml:space="preserve">
</t>
    </r>
    <r>
      <rPr>
        <b/>
        <sz val="11"/>
        <color theme="1"/>
        <rFont val="Aptos"/>
        <family val="2"/>
      </rPr>
      <t xml:space="preserve">1. </t>
    </r>
    <r>
      <rPr>
        <sz val="11"/>
        <color theme="1"/>
        <rFont val="Aptos"/>
        <family val="2"/>
      </rPr>
      <t xml:space="preserve"> Used for pre- or post-tensioning.
</t>
    </r>
    <r>
      <rPr>
        <b/>
        <sz val="11"/>
        <color theme="1"/>
        <rFont val="Aptos"/>
        <family val="2"/>
      </rPr>
      <t xml:space="preserve">2. </t>
    </r>
    <r>
      <rPr>
        <sz val="11"/>
        <color theme="1"/>
        <rFont val="Aptos"/>
        <family val="2"/>
      </rPr>
      <t xml:space="preserve"> Not subject to percent open area requirements.
</t>
    </r>
    <r>
      <rPr>
        <b/>
        <sz val="11"/>
        <color theme="1"/>
        <rFont val="Aptos"/>
        <family val="2"/>
      </rPr>
      <t>3.</t>
    </r>
    <r>
      <rPr>
        <sz val="11"/>
        <color theme="1"/>
        <rFont val="Aptos"/>
        <family val="2"/>
      </rPr>
      <t xml:space="preserve">  Must be located within 2 feet from the bow and stern sections
</t>
    </r>
    <r>
      <rPr>
        <b/>
        <sz val="11"/>
        <color theme="1"/>
        <rFont val="Aptos"/>
        <family val="2"/>
      </rPr>
      <t>4.</t>
    </r>
    <r>
      <rPr>
        <sz val="11"/>
        <color theme="1"/>
        <rFont val="Aptos"/>
        <family val="2"/>
      </rPr>
      <t xml:space="preserve">  Thickness of any bearing plate itself is limited to 1/4 inch.</t>
    </r>
  </si>
  <si>
    <t>NOTE:  PRIMARY REINFORCING IS PROVIDED FOR MATERIAL COMPLIANCE CHECKS ONLY.  PRIMARY REINFORCING IS NOT TO BE INCLUDED IN MIX DESIGN CALCULATIONS.</t>
  </si>
  <si>
    <t>[Material Name from Manufacturer]</t>
  </si>
  <si>
    <t>Enter Primary Reinforcing</t>
  </si>
  <si>
    <t>SEALERS</t>
  </si>
  <si>
    <r>
      <rPr>
        <b/>
        <u/>
        <sz val="11"/>
        <color theme="1"/>
        <rFont val="Aptos"/>
        <family val="2"/>
      </rPr>
      <t>REQUIREMENTS PER EXHIBIT 5 &amp; SECTION 6</t>
    </r>
    <r>
      <rPr>
        <b/>
        <sz val="11"/>
        <color theme="1"/>
        <rFont val="Aptos"/>
        <family val="2"/>
      </rPr>
      <t xml:space="preserve">
Curing Compounds:
1.  </t>
    </r>
    <r>
      <rPr>
        <sz val="11"/>
        <color theme="1"/>
        <rFont val="Aptos"/>
        <family val="2"/>
      </rPr>
      <t>Must be liquid membrane-forming compound (ASTM C309 and/or ASTM C1315) or a C4-approved equivalent.</t>
    </r>
    <r>
      <rPr>
        <b/>
        <sz val="11"/>
        <color theme="1"/>
        <rFont val="Aptos"/>
        <family val="2"/>
      </rPr>
      <t xml:space="preserve">
2.</t>
    </r>
    <r>
      <rPr>
        <sz val="11"/>
        <color theme="1"/>
        <rFont val="Aptos"/>
        <family val="2"/>
      </rPr>
      <t xml:space="preserve">  Any curing compound applied is limited to a maximum of two coats following the manufacturer’s procedure for application and thickness.
</t>
    </r>
    <r>
      <rPr>
        <b/>
        <sz val="11"/>
        <color theme="1"/>
        <rFont val="Aptos"/>
        <family val="2"/>
      </rPr>
      <t>Concrete Sealers:</t>
    </r>
    <r>
      <rPr>
        <sz val="11"/>
        <color theme="1"/>
        <rFont val="Aptos"/>
        <family val="2"/>
      </rPr>
      <t xml:space="preserve">
</t>
    </r>
    <r>
      <rPr>
        <b/>
        <sz val="11"/>
        <color theme="1"/>
        <rFont val="Aptos"/>
        <family val="2"/>
      </rPr>
      <t>1.</t>
    </r>
    <r>
      <rPr>
        <sz val="11"/>
        <color theme="1"/>
        <rFont val="Aptos"/>
        <family val="2"/>
      </rPr>
      <t xml:space="preserve">  Must be silane- or siloxane-based penetrating sealer with a VOC of less than or equal to 350 g/L.
</t>
    </r>
    <r>
      <rPr>
        <b/>
        <sz val="11"/>
        <color theme="1"/>
        <rFont val="Aptos"/>
        <family val="2"/>
      </rPr>
      <t xml:space="preserve">2.  </t>
    </r>
    <r>
      <rPr>
        <sz val="11"/>
        <color theme="1"/>
        <rFont val="Aptos"/>
        <family val="2"/>
      </rPr>
      <t>Any sealer applied is limited to a maximum of two coats following the manufacturer’s procedure for application and thickness.</t>
    </r>
  </si>
  <si>
    <t>CURING COMPOUNDS</t>
  </si>
  <si>
    <t>NOTE:  CURING COMPOUNDS ARE PROVIDED FOR MATERIAL COMPLIANCE CHECKS ONLY.  CURING COMPOUNDS ARE NOT TO BE INCLUDED IN MIX DESIGN CALCULATIONS.</t>
  </si>
  <si>
    <t>Enter Curing Compound</t>
  </si>
  <si>
    <t>CONCRETE SEALERS</t>
  </si>
  <si>
    <t>NOTE:  SEALERS ARE PROVIDED FOR MATERIAL COMPLIANCE CHECKS ONLY.  SEALERS ARE NOT TO BE INCLUDED IN MIX DESIGN CALCULATIONS.</t>
  </si>
  <si>
    <t>Enter Concrete Sealer</t>
  </si>
  <si>
    <t>CONCRETE STAINS</t>
  </si>
  <si>
    <r>
      <rPr>
        <b/>
        <u/>
        <sz val="11"/>
        <color theme="1"/>
        <rFont val="Aptos"/>
        <family val="2"/>
      </rPr>
      <t>REQUIREMENTS PER EXHIBIT 5 &amp; SECTION 6</t>
    </r>
    <r>
      <rPr>
        <b/>
        <sz val="11"/>
        <color theme="1"/>
        <rFont val="Aptos"/>
        <family val="2"/>
      </rPr>
      <t xml:space="preserve">
1.  </t>
    </r>
    <r>
      <rPr>
        <sz val="11"/>
        <color theme="1"/>
        <rFont val="Aptos"/>
        <family val="2"/>
      </rPr>
      <t>Transparent stains for concrete with VOC of less than or equal to 350 g/L.</t>
    </r>
    <r>
      <rPr>
        <b/>
        <sz val="11"/>
        <color theme="1"/>
        <rFont val="Aptos"/>
        <family val="2"/>
      </rPr>
      <t xml:space="preserve">
2.  </t>
    </r>
    <r>
      <rPr>
        <sz val="11"/>
        <color theme="1"/>
        <rFont val="Aptos"/>
        <family val="2"/>
      </rPr>
      <t xml:space="preserve">Glitter and other additives are prohibited.
</t>
    </r>
    <r>
      <rPr>
        <b/>
        <sz val="11"/>
        <color theme="1"/>
        <rFont val="Aptos"/>
        <family val="2"/>
      </rPr>
      <t>3.</t>
    </r>
    <r>
      <rPr>
        <sz val="11"/>
        <color theme="1"/>
        <rFont val="Aptos"/>
        <family val="2"/>
      </rPr>
      <t xml:space="preserve">  Acid stains may include thickeners if they meet the VOC limit.
</t>
    </r>
    <r>
      <rPr>
        <b/>
        <sz val="11"/>
        <color theme="1"/>
        <rFont val="Aptos"/>
        <family val="2"/>
      </rPr>
      <t>4.</t>
    </r>
    <r>
      <rPr>
        <sz val="11"/>
        <color theme="1"/>
        <rFont val="Aptos"/>
        <family val="2"/>
      </rPr>
      <t xml:space="preserve">  Stains cannot be diluted with water, acetone, or other mediums.
</t>
    </r>
    <r>
      <rPr>
        <b/>
        <sz val="11"/>
        <color theme="1"/>
        <rFont val="Aptos"/>
        <family val="2"/>
      </rPr>
      <t xml:space="preserve">5.  </t>
    </r>
    <r>
      <rPr>
        <sz val="11"/>
        <color theme="1"/>
        <rFont val="Aptos"/>
        <family val="2"/>
      </rPr>
      <t xml:space="preserve">Powdered dyes mixed with water or other liquids are allowed, following the manufacturer's instructions, with up to two coats recommended.
</t>
    </r>
    <r>
      <rPr>
        <b/>
        <sz val="11"/>
        <color theme="1"/>
        <rFont val="Aptos"/>
        <family val="2"/>
      </rPr>
      <t>6.</t>
    </r>
    <r>
      <rPr>
        <sz val="11"/>
        <color theme="1"/>
        <rFont val="Aptos"/>
        <family val="2"/>
      </rPr>
      <t xml:space="preserve">  See Section 6.7.2 for additional information regarding restrictions on use of concrete stains.</t>
    </r>
  </si>
  <si>
    <t>NOTE:  CONCRETE STAINS ARE PROVIDED FOR MATERIAL COMPLIANCE CHECKS ONLY.  CONCRETE STAINS ARE NOT TO BE INCLUDED IN MIX DESIGN CALCULATIONS.</t>
  </si>
  <si>
    <t>Enter Concrete Stain</t>
  </si>
  <si>
    <t>FLOTATION</t>
  </si>
  <si>
    <r>
      <rPr>
        <b/>
        <u/>
        <sz val="11"/>
        <color theme="1"/>
        <rFont val="Aptos"/>
        <family val="2"/>
      </rPr>
      <t>REQUIREMENTS PER EXHIBIT 5 &amp; SECTION 6</t>
    </r>
    <r>
      <rPr>
        <b/>
        <sz val="11"/>
        <color theme="1"/>
        <rFont val="Aptos"/>
        <family val="2"/>
      </rPr>
      <t xml:space="preserve">
1.  </t>
    </r>
    <r>
      <rPr>
        <sz val="11"/>
        <color theme="1"/>
        <rFont val="Aptos"/>
        <family val="2"/>
      </rPr>
      <t>Type, name, and density (if applicable).</t>
    </r>
    <r>
      <rPr>
        <b/>
        <sz val="11"/>
        <color theme="1"/>
        <rFont val="Aptos"/>
        <family val="2"/>
      </rPr>
      <t xml:space="preserve">
2.  </t>
    </r>
    <r>
      <rPr>
        <sz val="11"/>
        <color theme="1"/>
        <rFont val="Aptos"/>
        <family val="2"/>
      </rPr>
      <t>Must be limited to within 3 feet of the bow and stern and encased in concrete.</t>
    </r>
  </si>
  <si>
    <t>NOTE:  FLOTATION IS PROVIDED FOR MATERIAL COMPLIANCE CHECKS ONLY.  FLOTATION IS NOT TO BE INCLUDED IN MIX DESIGN CALCULATIONS.</t>
  </si>
  <si>
    <t>Enter Flotation</t>
  </si>
  <si>
    <t>OTHER</t>
  </si>
  <si>
    <r>
      <rPr>
        <b/>
        <sz val="11"/>
        <color theme="1"/>
        <rFont val="Aptos"/>
        <family val="2"/>
      </rPr>
      <t xml:space="preserve">1.  </t>
    </r>
    <r>
      <rPr>
        <sz val="11"/>
        <color theme="1"/>
        <rFont val="Aptos"/>
        <family val="2"/>
      </rPr>
      <t xml:space="preserve">Requirements depend upon material type and use case.
</t>
    </r>
    <r>
      <rPr>
        <b/>
        <sz val="11"/>
        <color theme="1"/>
        <rFont val="Aptos"/>
        <family val="2"/>
      </rPr>
      <t xml:space="preserve">2.  </t>
    </r>
    <r>
      <rPr>
        <sz val="11"/>
        <color theme="1"/>
        <rFont val="Aptos"/>
        <family val="2"/>
      </rPr>
      <t>Insert comments in text field next to component name below.</t>
    </r>
  </si>
  <si>
    <t>Comments from Team on Use Case</t>
  </si>
  <si>
    <t>Enter Other Component Name</t>
  </si>
  <si>
    <t>Volcanic Pumice</t>
  </si>
  <si>
    <t>Perlite</t>
  </si>
  <si>
    <t xml:space="preserve">Utelite </t>
  </si>
  <si>
    <t xml:space="preserve">Utelite Fines </t>
  </si>
  <si>
    <t>Cementitious_Materials</t>
  </si>
  <si>
    <t>Material Type</t>
  </si>
  <si>
    <t>ASTM or Requirements</t>
  </si>
  <si>
    <t>Hydraulic Cement</t>
  </si>
  <si>
    <t>C150, C595, C1157, or C845</t>
  </si>
  <si>
    <t>Fly Ash</t>
  </si>
  <si>
    <t>C618 (Class C or F)</t>
  </si>
  <si>
    <t>Metakaolin or Calcined Clay</t>
  </si>
  <si>
    <t>C618 (Class N)</t>
  </si>
  <si>
    <t>DisplayNames</t>
  </si>
  <si>
    <t>NameManagerNames</t>
  </si>
  <si>
    <t>Slag Cement</t>
  </si>
  <si>
    <t>C989</t>
  </si>
  <si>
    <t>Cementitious Materials</t>
  </si>
  <si>
    <t>Silica Fume</t>
  </si>
  <si>
    <t>C1240</t>
  </si>
  <si>
    <t>Aggregates</t>
  </si>
  <si>
    <t>Hydrated Lime</t>
  </si>
  <si>
    <t>C207 (Type S or N) or C821</t>
  </si>
  <si>
    <t>Secondary Reinforcing</t>
  </si>
  <si>
    <t>Secondary_Reinforcing</t>
  </si>
  <si>
    <t>Ground-Glass Pozzolan</t>
  </si>
  <si>
    <t>C1866</t>
  </si>
  <si>
    <t>Ground Pumice, Pumicite, or Volcanic Ash Natural Pozzolan</t>
  </si>
  <si>
    <t>Sealers</t>
  </si>
  <si>
    <t>Alternative Cementitious Materials &amp; Pozzolans</t>
  </si>
  <si>
    <t>C1709</t>
  </si>
  <si>
    <t>Primary Reinforcing</t>
  </si>
  <si>
    <t>Primary_Reinforcing</t>
  </si>
  <si>
    <t>1.  Total Aggregate volume = 35% (min.) of total volume of mix.
2.  Provide aggregate gradations, particle size distribution (individual and composite)</t>
  </si>
  <si>
    <t>Flotation</t>
  </si>
  <si>
    <t>C1116</t>
  </si>
  <si>
    <t>Other</t>
  </si>
  <si>
    <t>Water-Reducing &amp; Set-Control</t>
  </si>
  <si>
    <t>C494</t>
  </si>
  <si>
    <t>Graphics</t>
  </si>
  <si>
    <t>Air-Entraining</t>
  </si>
  <si>
    <t>C260</t>
  </si>
  <si>
    <t>Prohibited Materials</t>
  </si>
  <si>
    <t>Prohibited_Materials</t>
  </si>
  <si>
    <t>Coloring Admixture/Agents &amp; Concrete Pigments</t>
  </si>
  <si>
    <t>C979</t>
  </si>
  <si>
    <t>Specialty Admixtures</t>
  </si>
  <si>
    <t>C494 (Type S)</t>
  </si>
  <si>
    <t>Latex Emulsions</t>
  </si>
  <si>
    <r>
      <t>1.  C1438 Type II &amp; 2.  Limited to no more than 50 lb/yd</t>
    </r>
    <r>
      <rPr>
        <vertAlign val="superscript"/>
        <sz val="11"/>
        <color theme="1"/>
        <rFont val="Arial"/>
        <family val="2"/>
      </rPr>
      <t>3</t>
    </r>
    <r>
      <rPr>
        <sz val="11"/>
        <color theme="1"/>
        <rFont val="Arial"/>
        <family val="2"/>
      </rPr>
      <t xml:space="preserve"> of concrete</t>
    </r>
  </si>
  <si>
    <t>Curing Compounds</t>
  </si>
  <si>
    <t>1.  Liquid membrane-forming compound (ASTM C309 and/or ASTM C1315).
2.  Maximum of two coats may be applied.</t>
  </si>
  <si>
    <t>Concrete Sealers</t>
  </si>
  <si>
    <t>Silane- or siloxane-based penetrating sealer with VOC of less than or equal to 350 g/L</t>
  </si>
  <si>
    <t>Stains</t>
  </si>
  <si>
    <t>1.  Transparent stains for concrete with VOC of less than or equal to 350 g/L
2.  Glitter and other additives are prohibited.</t>
  </si>
  <si>
    <t>Mesh and Grids</t>
  </si>
  <si>
    <t xml:space="preserve">1.  Must satisfy percent open area (POA) requirements.
2.  Pre-impregnated (pre-preg) materials containing resins that heat for polymerization are prohibited.
3.  Solid mats or plates used for reinforcement are not allowed.  </t>
  </si>
  <si>
    <t>Strands, Tendons, and Bars</t>
  </si>
  <si>
    <t>1.  Materials less than 1/2" wide used to make a reinforcing grid OR used in pre- or post-tensioning.
2.  When used individually, must meet thickness requirements but are not subject to percent open area requirements.
3.  Grids consisting of strands, tendons, and bars are subject to thickness requirements and percent open area requirements.</t>
  </si>
  <si>
    <t>Bearing Plates &amp; Fasteners</t>
  </si>
  <si>
    <t>1.  Used for pre- or post-tensioning.
2.  Not subject to percent open area requirements.
3.  Must be located within 2 feet from the bow and stern sections
4.  Thickness of any bearing plate itself is limited to 1/4 inch.</t>
  </si>
  <si>
    <t>Flotation Material</t>
  </si>
  <si>
    <t>1.  Type, name, and density (if applicable).
2.  Must be limited to within 3 feet of the bow and stern and encased in concrete.</t>
  </si>
  <si>
    <t>Requirements depend upon material type and use case.  See comments for additional information.</t>
  </si>
  <si>
    <t>Epoxy Resin</t>
  </si>
  <si>
    <t>Prohibited Material has been used.  Deduction B or C may apply.</t>
  </si>
  <si>
    <t>Curing Agents</t>
  </si>
  <si>
    <t>Asphalt Emulsions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</si>
</sst>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5">
    <font>
      <sz val="11"/>
      <color theme="1"/>
      <name val="Calibri"/>
      <family val="2"/>
      <scheme val="minor"/>
    </font>
    <font>
      <sz val="11"/>
      <color theme="1"/>
      <name val="Calibri"/>
      <family val="2"/>
      <scheme val="minor"/>
    </font>
    <font>
      <sz val="11"/>
      <color theme="1"/>
      <name val="Aptos"/>
      <family val="2"/>
    </font>
    <font>
      <b/>
      <sz val="11"/>
      <color theme="1"/>
      <name val="Aptos"/>
      <family val="2"/>
    </font>
    <font>
      <i/>
      <sz val="11"/>
      <color theme="1"/>
      <name val="Aptos"/>
      <family val="2"/>
    </font>
    <font>
      <b/>
      <i/>
      <sz val="11"/>
      <color theme="1"/>
      <name val="Aptos"/>
      <family val="2"/>
    </font>
    <font>
      <b/>
      <i/>
      <sz val="11"/>
      <color theme="4"/>
      <name val="Aptos"/>
      <family val="2"/>
    </font>
    <font>
      <vertAlign val="subscript"/>
      <sz val="11"/>
      <color theme="1"/>
      <name val="Aptos"/>
      <family val="2"/>
    </font>
    <font>
      <i/>
      <vertAlign val="subscript"/>
      <sz val="11"/>
      <color theme="1"/>
      <name val="Aptos"/>
      <family val="2"/>
    </font>
    <font>
      <b/>
      <sz val="10"/>
      <color theme="1"/>
      <name val="Aptos"/>
      <family val="2"/>
    </font>
    <font>
      <i/>
      <sz val="11"/>
      <color rgb="FF000000"/>
      <name val="Aptos"/>
      <family val="2"/>
    </font>
    <font>
      <sz val="10"/>
      <color theme="1"/>
      <name val="Aptos"/>
      <family val="2"/>
    </font>
    <font>
      <vertAlign val="superscript"/>
      <sz val="11"/>
      <color theme="1"/>
      <name val="Aptos"/>
      <family val="2"/>
    </font>
    <font>
      <b/>
      <u/>
      <sz val="11"/>
      <color theme="1"/>
      <name val="Aptos"/>
      <family val="2"/>
    </font>
    <font>
      <sz val="11"/>
      <color theme="1"/>
      <name val="Calibri"/>
      <family val="2"/>
      <scheme val="minor"/>
    </font>
    <font>
      <sz val="11"/>
      <color theme="1"/>
      <name val="Calibri"/>
      <family val="2"/>
    </font>
    <font>
      <b/>
      <sz val="11"/>
      <color theme="1"/>
      <name val="Arial"/>
      <family val="2"/>
    </font>
    <font>
      <sz val="11"/>
      <color theme="1"/>
      <name val="Arial"/>
      <family val="2"/>
    </font>
    <font>
      <vertAlign val="superscript"/>
      <sz val="11"/>
      <color theme="1"/>
      <name val="Arial"/>
      <family val="2"/>
    </font>
    <font>
      <b/>
      <i/>
      <sz val="11"/>
      <color rgb="FFFF0000"/>
      <name val="Arial"/>
      <family val="2"/>
    </font>
    <font>
      <b/>
      <sz val="11"/>
      <color rgb="FFFF0000"/>
      <name val="Arial"/>
      <family val="2"/>
    </font>
    <font>
      <b/>
      <i/>
      <sz val="11"/>
      <color theme="1"/>
      <name val="Aptos"/>
    </font>
    <font>
      <sz val="11"/>
      <color theme="1"/>
      <name val="Aptos"/>
    </font>
    <font>
      <i/>
      <sz val="11"/>
      <color theme="1"/>
      <name val="Aptos"/>
    </font>
    <font>
      <b/>
      <sz val="11"/>
      <color theme="1"/>
      <name val="Aptos"/>
    </font>
  </fonts>
  <fills count="8">
    <fill>
      <patternFill patternType="none"/>
    </fill>
    <fill>
      <patternFill patternType="gray125"/>
    </fill>
    <fill>
      <patternFill patternType="solid">
        <fgColor theme="4" tint="0.79998168889431442"/>
        <bgColor indexed="64"/>
      </patternFill>
    </fill>
    <fill>
      <patternFill patternType="solid">
        <fgColor rgb="FFFFC000"/>
        <bgColor indexed="64"/>
      </patternFill>
    </fill>
    <fill>
      <patternFill patternType="solid">
        <fgColor rgb="FF00B0F0"/>
        <bgColor indexed="64"/>
      </patternFill>
    </fill>
    <fill>
      <patternFill patternType="solid">
        <fgColor rgb="FFFFC000"/>
        <bgColor rgb="FFFFC000"/>
      </patternFill>
    </fill>
    <fill>
      <patternFill patternType="solid">
        <fgColor rgb="FFD9E2F3"/>
        <bgColor rgb="FFD9E2F3"/>
      </patternFill>
    </fill>
    <fill>
      <patternFill patternType="solid">
        <fgColor theme="2" tint="-9.9978637043366805E-2"/>
        <bgColor indexed="64"/>
      </patternFill>
    </fill>
  </fills>
  <borders count="36">
    <border>
      <left/>
      <right/>
      <top/>
      <bottom/>
      <diagonal/>
    </border>
    <border>
      <left/>
      <right/>
      <top/>
      <bottom style="thin">
        <color indexed="64"/>
      </bottom>
      <diagonal/>
    </border>
    <border>
      <left style="hair">
        <color auto="1"/>
      </left>
      <right style="hair">
        <color auto="1"/>
      </right>
      <top/>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rgb="FF000000"/>
      </left>
      <right style="hair">
        <color rgb="FF000000"/>
      </right>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hair">
        <color rgb="FF000000"/>
      </right>
      <top/>
      <bottom style="hair">
        <color rgb="FF000000"/>
      </bottom>
      <diagonal/>
    </border>
    <border>
      <left/>
      <right style="hair">
        <color rgb="FF000000"/>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right/>
      <top style="thin">
        <color rgb="FF000000"/>
      </top>
      <bottom/>
      <diagonal/>
    </border>
    <border>
      <left/>
      <right/>
      <top style="thin">
        <color rgb="FF000000"/>
      </top>
      <bottom style="thin">
        <color indexed="64"/>
      </bottom>
      <diagonal/>
    </border>
    <border>
      <left/>
      <right/>
      <top style="thin">
        <color indexed="64"/>
      </top>
      <bottom style="thin">
        <color indexed="64"/>
      </bottom>
      <diagonal/>
    </border>
  </borders>
  <cellStyleXfs count="3">
    <xf numFmtId="0" fontId="0" fillId="0" borderId="0"/>
    <xf numFmtId="0" fontId="1" fillId="0" borderId="0"/>
    <xf numFmtId="0" fontId="14" fillId="0" borderId="0"/>
  </cellStyleXfs>
  <cellXfs count="122">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3" fillId="4" borderId="0" xfId="0" applyFont="1" applyFill="1" applyAlignment="1">
      <alignment horizontal="center" vertical="center"/>
    </xf>
    <xf numFmtId="0" fontId="3" fillId="0" borderId="0" xfId="0" applyFont="1" applyAlignment="1">
      <alignment horizontal="center" vertical="center"/>
    </xf>
    <xf numFmtId="2" fontId="4" fillId="3" borderId="3" xfId="0" applyNumberFormat="1" applyFont="1" applyFill="1" applyBorder="1" applyAlignment="1">
      <alignment horizontal="center" vertical="center"/>
    </xf>
    <xf numFmtId="0" fontId="4" fillId="0" borderId="6" xfId="0" applyFont="1" applyBorder="1" applyAlignment="1">
      <alignment horizontal="left" vertical="center"/>
    </xf>
    <xf numFmtId="0" fontId="4" fillId="0" borderId="0" xfId="0" applyFont="1" applyAlignment="1">
      <alignment horizontal="left" vertical="center"/>
    </xf>
    <xf numFmtId="2" fontId="4" fillId="2" borderId="4" xfId="0" applyNumberFormat="1" applyFont="1" applyFill="1" applyBorder="1" applyAlignment="1" applyProtection="1">
      <alignment horizontal="center" vertical="center"/>
      <protection locked="0"/>
    </xf>
    <xf numFmtId="2" fontId="4" fillId="3" borderId="4" xfId="0" applyNumberFormat="1" applyFont="1" applyFill="1" applyBorder="1" applyAlignment="1">
      <alignment horizontal="center" vertical="center"/>
    </xf>
    <xf numFmtId="2" fontId="4" fillId="2" borderId="3" xfId="0" applyNumberFormat="1" applyFont="1" applyFill="1" applyBorder="1" applyAlignment="1" applyProtection="1">
      <alignment horizontal="center" vertical="center"/>
      <protection locked="0"/>
    </xf>
    <xf numFmtId="0" fontId="3" fillId="0" borderId="0" xfId="0" applyFont="1" applyAlignment="1">
      <alignment horizontal="right" vertical="center"/>
    </xf>
    <xf numFmtId="2" fontId="4" fillId="2" borderId="4" xfId="0" applyNumberFormat="1" applyFont="1" applyFill="1" applyBorder="1" applyAlignment="1">
      <alignment horizontal="center" vertical="center"/>
    </xf>
    <xf numFmtId="0" fontId="6" fillId="0" borderId="0" xfId="0" applyFont="1" applyAlignment="1">
      <alignment horizontal="center" vertical="center"/>
    </xf>
    <xf numFmtId="0" fontId="3" fillId="0" borderId="3" xfId="0" applyFont="1" applyBorder="1" applyAlignment="1">
      <alignment horizontal="center" vertical="center"/>
    </xf>
    <xf numFmtId="2" fontId="4" fillId="6" borderId="15" xfId="1" applyNumberFormat="1" applyFont="1" applyFill="1" applyBorder="1" applyAlignment="1">
      <alignment horizontal="center" vertical="center"/>
    </xf>
    <xf numFmtId="2" fontId="4" fillId="5" borderId="15" xfId="1" applyNumberFormat="1" applyFont="1" applyFill="1" applyBorder="1" applyAlignment="1">
      <alignment horizontal="center" vertical="center"/>
    </xf>
    <xf numFmtId="165" fontId="4" fillId="6" borderId="15" xfId="1" applyNumberFormat="1" applyFont="1" applyFill="1" applyBorder="1" applyAlignment="1">
      <alignment horizontal="center" vertical="center"/>
    </xf>
    <xf numFmtId="164" fontId="4" fillId="6" borderId="15" xfId="1" applyNumberFormat="1" applyFont="1" applyFill="1" applyBorder="1" applyAlignment="1">
      <alignment horizontal="center" vertical="center"/>
    </xf>
    <xf numFmtId="164" fontId="4" fillId="0" borderId="0" xfId="0" applyNumberFormat="1" applyFont="1" applyAlignment="1">
      <alignment horizontal="center" vertical="center"/>
    </xf>
    <xf numFmtId="2" fontId="4" fillId="2" borderId="5" xfId="0" applyNumberFormat="1" applyFont="1" applyFill="1" applyBorder="1" applyAlignment="1" applyProtection="1">
      <alignment horizontal="center" vertical="center"/>
      <protection locked="0"/>
    </xf>
    <xf numFmtId="2" fontId="2" fillId="0" borderId="0" xfId="0" applyNumberFormat="1" applyFont="1" applyAlignment="1">
      <alignment horizontal="center" vertical="center"/>
    </xf>
    <xf numFmtId="0" fontId="9" fillId="0" borderId="2" xfId="0" applyFont="1" applyBorder="1" applyAlignment="1">
      <alignment horizontal="center" vertical="center"/>
    </xf>
    <xf numFmtId="2" fontId="2" fillId="6" borderId="15" xfId="1" applyNumberFormat="1" applyFont="1" applyFill="1" applyBorder="1" applyAlignment="1">
      <alignment horizontal="center" vertical="center"/>
    </xf>
    <xf numFmtId="165" fontId="2" fillId="6" borderId="15" xfId="1" applyNumberFormat="1" applyFont="1" applyFill="1" applyBorder="1" applyAlignment="1">
      <alignment horizontal="center" vertical="center"/>
    </xf>
    <xf numFmtId="2" fontId="2" fillId="2" borderId="4" xfId="0" applyNumberFormat="1" applyFont="1" applyFill="1" applyBorder="1" applyAlignment="1" applyProtection="1">
      <alignment horizontal="center" vertical="center"/>
      <protection locked="0"/>
    </xf>
    <xf numFmtId="165" fontId="2" fillId="2" borderId="4" xfId="0" applyNumberFormat="1" applyFont="1" applyFill="1" applyBorder="1" applyAlignment="1" applyProtection="1">
      <alignment horizontal="center" vertical="center"/>
      <protection locked="0"/>
    </xf>
    <xf numFmtId="2" fontId="6" fillId="0" borderId="0" xfId="0" applyNumberFormat="1" applyFont="1" applyAlignment="1">
      <alignment horizontal="center" vertical="center"/>
    </xf>
    <xf numFmtId="0" fontId="5" fillId="0" borderId="11" xfId="0" applyFont="1" applyBorder="1" applyAlignment="1">
      <alignment vertical="center"/>
    </xf>
    <xf numFmtId="2" fontId="4" fillId="5" borderId="16" xfId="1" applyNumberFormat="1" applyFont="1" applyFill="1" applyBorder="1" applyAlignment="1">
      <alignment horizontal="center" vertical="center"/>
    </xf>
    <xf numFmtId="0" fontId="5" fillId="0" borderId="0" xfId="0" applyFont="1" applyAlignment="1">
      <alignment vertical="center"/>
    </xf>
    <xf numFmtId="0" fontId="5" fillId="0" borderId="12" xfId="0" applyFont="1" applyBorder="1" applyAlignment="1">
      <alignment vertical="center"/>
    </xf>
    <xf numFmtId="0" fontId="2" fillId="6" borderId="17" xfId="1" applyFont="1" applyFill="1" applyBorder="1" applyAlignment="1">
      <alignment horizontal="center" vertical="center"/>
    </xf>
    <xf numFmtId="0" fontId="4" fillId="0" borderId="0" xfId="0" applyFont="1" applyAlignment="1">
      <alignment vertical="center"/>
    </xf>
    <xf numFmtId="0" fontId="2" fillId="4" borderId="0" xfId="0" applyFont="1" applyFill="1" applyAlignment="1">
      <alignment vertical="center"/>
    </xf>
    <xf numFmtId="0" fontId="3" fillId="4" borderId="0" xfId="0" applyFont="1" applyFill="1" applyAlignment="1">
      <alignment horizontal="center" vertical="center" wrapText="1"/>
    </xf>
    <xf numFmtId="0" fontId="4" fillId="0" borderId="0" xfId="0" applyFont="1" applyAlignment="1">
      <alignment horizontal="center" vertical="center"/>
    </xf>
    <xf numFmtId="2" fontId="10" fillId="5" borderId="15" xfId="1" applyNumberFormat="1" applyFont="1" applyFill="1" applyBorder="1" applyAlignment="1">
      <alignment horizontal="center" vertical="center"/>
    </xf>
    <xf numFmtId="2" fontId="10" fillId="5" borderId="14" xfId="1" applyNumberFormat="1" applyFont="1" applyFill="1" applyBorder="1" applyAlignment="1">
      <alignment horizontal="center" vertical="center"/>
    </xf>
    <xf numFmtId="0" fontId="5" fillId="0" borderId="0" xfId="0" applyFont="1" applyAlignment="1">
      <alignment horizontal="left" vertical="center"/>
    </xf>
    <xf numFmtId="2" fontId="10" fillId="5" borderId="13" xfId="1" applyNumberFormat="1" applyFont="1" applyFill="1" applyBorder="1" applyAlignment="1">
      <alignment horizontal="center" vertical="center"/>
    </xf>
    <xf numFmtId="2" fontId="10" fillId="5" borderId="18" xfId="1" applyNumberFormat="1" applyFont="1" applyFill="1" applyBorder="1" applyAlignment="1">
      <alignment horizontal="center" vertical="center"/>
    </xf>
    <xf numFmtId="164" fontId="2" fillId="0" borderId="0" xfId="0" applyNumberFormat="1" applyFont="1" applyAlignment="1">
      <alignment horizontal="center" vertical="center"/>
    </xf>
    <xf numFmtId="0" fontId="3" fillId="0" borderId="0" xfId="0" applyFont="1" applyAlignment="1">
      <alignment vertical="center"/>
    </xf>
    <xf numFmtId="164" fontId="3" fillId="0" borderId="0" xfId="0" applyNumberFormat="1" applyFont="1" applyAlignment="1">
      <alignment horizontal="center" vertical="center"/>
    </xf>
    <xf numFmtId="0" fontId="5" fillId="0" borderId="0" xfId="0" applyFont="1" applyAlignment="1">
      <alignment horizontal="right" vertical="center"/>
    </xf>
    <xf numFmtId="0" fontId="2" fillId="0" borderId="0" xfId="0" quotePrefix="1" applyFont="1" applyAlignment="1">
      <alignment vertical="center"/>
    </xf>
    <xf numFmtId="0" fontId="4" fillId="0" borderId="7" xfId="0" applyFont="1" applyBorder="1" applyAlignment="1">
      <alignment vertical="center"/>
    </xf>
    <xf numFmtId="2" fontId="11" fillId="6" borderId="15" xfId="1" applyNumberFormat="1" applyFont="1" applyFill="1" applyBorder="1" applyAlignment="1">
      <alignment horizontal="center" vertical="center"/>
    </xf>
    <xf numFmtId="2" fontId="4" fillId="6" borderId="0" xfId="1" applyNumberFormat="1" applyFont="1" applyFill="1" applyAlignment="1">
      <alignment horizontal="center" vertical="center"/>
    </xf>
    <xf numFmtId="0" fontId="14" fillId="0" borderId="0" xfId="2"/>
    <xf numFmtId="0" fontId="17" fillId="0" borderId="16" xfId="2" applyFont="1" applyBorder="1" applyAlignment="1">
      <alignment horizontal="center" vertical="center" wrapText="1"/>
    </xf>
    <xf numFmtId="0" fontId="17" fillId="0" borderId="16" xfId="2" applyFont="1" applyBorder="1" applyAlignment="1">
      <alignment horizontal="left" vertical="top" wrapText="1"/>
    </xf>
    <xf numFmtId="0" fontId="16" fillId="0" borderId="0" xfId="2" applyFont="1"/>
    <xf numFmtId="0" fontId="15" fillId="0" borderId="0" xfId="2" applyFont="1"/>
    <xf numFmtId="0" fontId="17" fillId="0" borderId="0" xfId="2" applyFont="1" applyAlignment="1">
      <alignment wrapText="1"/>
    </xf>
    <xf numFmtId="0" fontId="17" fillId="0" borderId="0" xfId="2" applyFont="1"/>
    <xf numFmtId="0" fontId="17" fillId="0" borderId="0" xfId="2" applyFont="1" applyAlignment="1">
      <alignment horizontal="center"/>
    </xf>
    <xf numFmtId="0" fontId="16" fillId="0" borderId="0" xfId="2" applyFont="1" applyAlignment="1">
      <alignment wrapText="1"/>
    </xf>
    <xf numFmtId="0" fontId="16" fillId="0" borderId="20" xfId="2" applyFont="1" applyBorder="1" applyAlignment="1">
      <alignment horizontal="center" vertical="center" wrapText="1"/>
    </xf>
    <xf numFmtId="0" fontId="16" fillId="0" borderId="20" xfId="2" applyFont="1" applyBorder="1" applyAlignment="1">
      <alignment horizontal="center" wrapText="1"/>
    </xf>
    <xf numFmtId="0" fontId="17" fillId="0" borderId="23" xfId="2" applyFont="1" applyBorder="1" applyAlignment="1">
      <alignment horizontal="center" vertical="center" wrapText="1"/>
    </xf>
    <xf numFmtId="0" fontId="17" fillId="0" borderId="24" xfId="2" applyFont="1" applyBorder="1" applyAlignment="1">
      <alignment horizontal="left" vertical="top" wrapText="1"/>
    </xf>
    <xf numFmtId="0" fontId="17" fillId="0" borderId="26" xfId="2" applyFont="1" applyBorder="1" applyAlignment="1">
      <alignment horizontal="left" vertical="top" wrapText="1"/>
    </xf>
    <xf numFmtId="0" fontId="17" fillId="0" borderId="28" xfId="2" applyFont="1" applyBorder="1" applyAlignment="1">
      <alignment horizontal="center" vertical="center" wrapText="1"/>
    </xf>
    <xf numFmtId="0" fontId="17" fillId="0" borderId="29" xfId="2" applyFont="1" applyBorder="1" applyAlignment="1">
      <alignment horizontal="left" vertical="top" wrapText="1"/>
    </xf>
    <xf numFmtId="0" fontId="17" fillId="0" borderId="31" xfId="2" applyFont="1" applyBorder="1" applyAlignment="1">
      <alignment horizontal="center" vertical="center" wrapText="1"/>
    </xf>
    <xf numFmtId="0" fontId="17" fillId="0" borderId="32" xfId="2" applyFont="1" applyBorder="1" applyAlignment="1">
      <alignment horizontal="left" vertical="top" wrapText="1"/>
    </xf>
    <xf numFmtId="0" fontId="17" fillId="2" borderId="22" xfId="2" applyFont="1" applyFill="1" applyBorder="1" applyAlignment="1">
      <alignment horizontal="center" vertical="center" wrapText="1"/>
    </xf>
    <xf numFmtId="0" fontId="17" fillId="2" borderId="23" xfId="2" applyFont="1" applyFill="1" applyBorder="1" applyAlignment="1">
      <alignment horizontal="center" vertical="center" wrapText="1"/>
    </xf>
    <xf numFmtId="0" fontId="17" fillId="2" borderId="25" xfId="2" applyFont="1" applyFill="1" applyBorder="1" applyAlignment="1">
      <alignment horizontal="center" vertical="center" wrapText="1"/>
    </xf>
    <xf numFmtId="0" fontId="17" fillId="2" borderId="16" xfId="2" applyFont="1" applyFill="1" applyBorder="1" applyAlignment="1">
      <alignment horizontal="center" vertical="center" wrapText="1"/>
    </xf>
    <xf numFmtId="0" fontId="17" fillId="2" borderId="27" xfId="2" applyFont="1" applyFill="1" applyBorder="1" applyAlignment="1">
      <alignment horizontal="center" vertical="center" wrapText="1"/>
    </xf>
    <xf numFmtId="0" fontId="17" fillId="2" borderId="28" xfId="2" applyFont="1" applyFill="1" applyBorder="1" applyAlignment="1">
      <alignment horizontal="center" vertical="center" wrapText="1"/>
    </xf>
    <xf numFmtId="0" fontId="17" fillId="2" borderId="30" xfId="2" applyFont="1" applyFill="1" applyBorder="1" applyAlignment="1">
      <alignment horizontal="center" vertical="center" wrapText="1"/>
    </xf>
    <xf numFmtId="0" fontId="17" fillId="2" borderId="31" xfId="2" applyFont="1" applyFill="1" applyBorder="1" applyAlignment="1">
      <alignment horizontal="center" vertical="center" wrapText="1"/>
    </xf>
    <xf numFmtId="0" fontId="20" fillId="0" borderId="20" xfId="2" applyFont="1" applyBorder="1" applyAlignment="1">
      <alignment horizontal="center" vertical="center" wrapText="1"/>
    </xf>
    <xf numFmtId="2" fontId="22" fillId="6" borderId="15" xfId="1" applyNumberFormat="1" applyFont="1" applyFill="1" applyBorder="1" applyAlignment="1">
      <alignment horizontal="center" vertical="center"/>
    </xf>
    <xf numFmtId="2" fontId="23" fillId="5" borderId="15" xfId="1" applyNumberFormat="1" applyFont="1" applyFill="1" applyBorder="1" applyAlignment="1">
      <alignment horizontal="center" vertical="center"/>
    </xf>
    <xf numFmtId="2" fontId="22" fillId="2" borderId="4" xfId="0" applyNumberFormat="1" applyFont="1" applyFill="1" applyBorder="1" applyAlignment="1" applyProtection="1">
      <alignment horizontal="center" vertical="center"/>
      <protection locked="0"/>
    </xf>
    <xf numFmtId="2" fontId="23" fillId="3" borderId="4" xfId="0" applyNumberFormat="1" applyFont="1" applyFill="1" applyBorder="1" applyAlignment="1">
      <alignment horizontal="center" vertical="center"/>
    </xf>
    <xf numFmtId="0" fontId="22" fillId="0" borderId="0" xfId="0" applyFont="1" applyAlignment="1">
      <alignment vertical="center"/>
    </xf>
    <xf numFmtId="2" fontId="23" fillId="6" borderId="15" xfId="1" applyNumberFormat="1" applyFont="1" applyFill="1" applyBorder="1" applyAlignment="1">
      <alignment horizontal="center" vertical="center"/>
    </xf>
    <xf numFmtId="0" fontId="3" fillId="4" borderId="33" xfId="0" applyFont="1" applyFill="1" applyBorder="1" applyAlignment="1">
      <alignment horizontal="center" vertical="center"/>
    </xf>
    <xf numFmtId="0" fontId="2" fillId="7" borderId="0" xfId="0" applyFont="1" applyFill="1" applyAlignment="1">
      <alignment horizontal="left" vertical="top" wrapText="1"/>
    </xf>
    <xf numFmtId="0" fontId="3" fillId="4" borderId="34" xfId="0" applyFont="1" applyFill="1" applyBorder="1" applyAlignment="1">
      <alignment horizontal="center" vertical="center"/>
    </xf>
    <xf numFmtId="0" fontId="3" fillId="4" borderId="35" xfId="0" applyFont="1" applyFill="1" applyBorder="1" applyAlignment="1">
      <alignment horizontal="center" vertical="center"/>
    </xf>
    <xf numFmtId="0" fontId="3" fillId="4" borderId="21" xfId="0" applyFont="1" applyFill="1" applyBorder="1" applyAlignment="1">
      <alignment horizontal="center" vertical="center"/>
    </xf>
    <xf numFmtId="0" fontId="3" fillId="4" borderId="1" xfId="0" applyFont="1" applyFill="1" applyBorder="1" applyAlignment="1">
      <alignment horizontal="center" vertical="center"/>
    </xf>
    <xf numFmtId="0" fontId="2" fillId="7" borderId="0" xfId="0" applyFont="1" applyFill="1" applyAlignment="1">
      <alignment horizontal="left" vertical="center" wrapText="1"/>
    </xf>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0" fontId="5" fillId="2" borderId="10" xfId="0" applyFont="1" applyFill="1" applyBorder="1" applyAlignment="1">
      <alignment horizontal="left" vertical="center"/>
    </xf>
    <xf numFmtId="0" fontId="5" fillId="2" borderId="4" xfId="0" applyFont="1" applyFill="1" applyBorder="1" applyAlignment="1">
      <alignment horizontal="left" vertical="center"/>
    </xf>
    <xf numFmtId="0" fontId="2" fillId="0" borderId="1" xfId="0" applyFont="1" applyBorder="1" applyAlignment="1">
      <alignment horizontal="left" vertical="center" wrapText="1"/>
    </xf>
    <xf numFmtId="2" fontId="2" fillId="7" borderId="1" xfId="0" applyNumberFormat="1" applyFont="1" applyFill="1" applyBorder="1" applyAlignment="1">
      <alignment horizontal="left" vertical="center" wrapText="1"/>
    </xf>
    <xf numFmtId="2" fontId="2" fillId="7" borderId="0" xfId="0" applyNumberFormat="1" applyFont="1" applyFill="1" applyAlignment="1">
      <alignment horizontal="left" vertical="center" wrapText="1"/>
    </xf>
    <xf numFmtId="0" fontId="3" fillId="4" borderId="0" xfId="0" applyFont="1" applyFill="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3" fillId="2" borderId="4" xfId="0" applyFont="1" applyFill="1" applyBorder="1" applyAlignment="1">
      <alignment horizontal="left" vertical="center"/>
    </xf>
    <xf numFmtId="0" fontId="5" fillId="0" borderId="0" xfId="0" applyFont="1" applyAlignment="1">
      <alignment horizontal="right" vertical="center"/>
    </xf>
    <xf numFmtId="0" fontId="5" fillId="0" borderId="19" xfId="0" applyFont="1" applyBorder="1" applyAlignment="1">
      <alignment horizontal="righ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4" fillId="0" borderId="7" xfId="0" applyFont="1" applyBorder="1" applyAlignment="1">
      <alignment horizontal="center" vertical="center"/>
    </xf>
    <xf numFmtId="0" fontId="2" fillId="0" borderId="0" xfId="0" applyFont="1" applyAlignment="1">
      <alignment vertical="center"/>
    </xf>
    <xf numFmtId="0" fontId="2" fillId="0" borderId="7"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21" fillId="2" borderId="8" xfId="0" applyFont="1" applyFill="1" applyBorder="1" applyAlignment="1">
      <alignment horizontal="left" vertical="center"/>
    </xf>
    <xf numFmtId="0" fontId="21" fillId="2" borderId="9" xfId="0" applyFont="1" applyFill="1" applyBorder="1" applyAlignment="1">
      <alignment horizontal="left" vertical="center"/>
    </xf>
    <xf numFmtId="0" fontId="21" fillId="2" borderId="10" xfId="0" applyFont="1" applyFill="1" applyBorder="1" applyAlignment="1">
      <alignment horizontal="left" vertical="center"/>
    </xf>
    <xf numFmtId="0" fontId="24" fillId="4" borderId="0" xfId="0" applyFont="1" applyFill="1" applyAlignment="1">
      <alignment horizontal="center" vertical="center"/>
    </xf>
    <xf numFmtId="0" fontId="24" fillId="0" borderId="0" xfId="0" applyFont="1" applyAlignment="1">
      <alignment horizontal="center" vertical="center"/>
    </xf>
    <xf numFmtId="0" fontId="22" fillId="0" borderId="0" xfId="0" applyFont="1" applyAlignment="1">
      <alignment vertical="center"/>
    </xf>
    <xf numFmtId="0" fontId="21" fillId="2" borderId="4" xfId="0" applyFont="1" applyFill="1" applyBorder="1" applyAlignment="1">
      <alignment horizontal="left" vertical="center"/>
    </xf>
    <xf numFmtId="0" fontId="17" fillId="0" borderId="0" xfId="2" applyFont="1" applyAlignment="1">
      <alignment horizontal="center" wrapText="1"/>
    </xf>
    <xf numFmtId="0" fontId="17" fillId="0" borderId="0" xfId="2" applyFont="1" applyAlignment="1">
      <alignment horizontal="center"/>
    </xf>
    <xf numFmtId="0" fontId="0" fillId="0" borderId="9" xfId="0" applyBorder="1" applyAlignment="1"/>
    <xf numFmtId="0" fontId="0" fillId="0" borderId="10" xfId="0" applyBorder="1" applyAlignment="1"/>
    <xf numFmtId="0" fontId="14" fillId="0" borderId="0" xfId="2" applyAlignment="1"/>
  </cellXfs>
  <cellStyles count="3">
    <cellStyle name="Normal" xfId="0" builtinId="0"/>
    <cellStyle name="Normal 2" xfId="1" xr:uid="{474FF079-B372-4C3E-950E-3C7C34A54C93}"/>
    <cellStyle name="Normal 3" xfId="2" xr:uid="{D6EF41EE-7DFC-4604-903E-6191CA0BEC4E}"/>
  </cellStyles>
  <dxfs count="108">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s>
  <tableStyles count="0" defaultTableStyle="TableStyleMedium2" defaultPivotStyle="PivotStyleLight16"/>
  <colors>
    <mruColors>
      <color rgb="FFEADBF5"/>
      <color rgb="FFDAC1ED"/>
      <color rgb="FFC9A4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35E35-39CC-4B8B-8601-458AC8BB1E1A}">
  <sheetPr codeName="Sheet1">
    <pageSetUpPr fitToPage="1"/>
  </sheetPr>
  <dimension ref="A1:P115"/>
  <sheetViews>
    <sheetView showGridLines="0" topLeftCell="B42" zoomScale="80" zoomScaleNormal="80" zoomScaleSheetLayoutView="70" zoomScalePageLayoutView="70" workbookViewId="0">
      <selection activeCell="C45" sqref="C45:H47"/>
      <extLst>
        <ext xmlns:xlsdti="http://schemas.microsoft.com/office/spreadsheetml/2023/showDataTypeIcons" uri="{77bfe23e-c014-4d31-8a63-9c772dbf06b6}">
          <xlsdti:showDataTypeIcons visible="0"/>
        </ext>
      </extLst>
    </sheetView>
  </sheetViews>
  <sheetFormatPr defaultColWidth="8.85546875" defaultRowHeight="15"/>
  <cols>
    <col min="1" max="1" width="8.85546875" style="2" hidden="1" customWidth="1"/>
    <col min="2" max="2" width="3" style="2" customWidth="1"/>
    <col min="3" max="3" width="26.42578125" style="2" bestFit="1" customWidth="1"/>
    <col min="4" max="4" width="5.5703125" style="2" customWidth="1"/>
    <col min="5" max="5" width="9.140625" style="2" customWidth="1"/>
    <col min="6" max="6" width="16.7109375" style="2" bestFit="1" customWidth="1"/>
    <col min="7" max="7" width="17.140625" style="2" customWidth="1"/>
    <col min="8" max="8" width="15.7109375" style="2" customWidth="1"/>
    <col min="9" max="9" width="21.5703125" style="2" bestFit="1" customWidth="1"/>
    <col min="10" max="10" width="21.7109375" style="2" bestFit="1" customWidth="1"/>
    <col min="11" max="11" width="15.7109375" style="2" customWidth="1"/>
    <col min="12" max="12" width="3.28515625" style="2" customWidth="1"/>
    <col min="13" max="13" width="15.7109375" style="2" bestFit="1" customWidth="1"/>
    <col min="14" max="14" width="21.42578125" style="2" bestFit="1" customWidth="1"/>
    <col min="15" max="15" width="26.140625" style="2" customWidth="1"/>
    <col min="16" max="16" width="84" style="2" customWidth="1"/>
    <col min="17" max="16384" width="8.85546875" style="2"/>
  </cols>
  <sheetData>
    <row r="1" spans="3:16" ht="21" customHeight="1">
      <c r="C1" s="99" t="s">
        <v>0</v>
      </c>
      <c r="D1" s="99"/>
      <c r="E1" s="99"/>
      <c r="F1" s="99"/>
      <c r="G1" s="99"/>
      <c r="H1" s="99"/>
      <c r="I1" s="99"/>
      <c r="J1" s="99"/>
      <c r="K1" s="99"/>
      <c r="M1" s="5"/>
      <c r="N1" s="6" t="s">
        <v>1</v>
      </c>
      <c r="O1" s="7"/>
      <c r="P1" s="7"/>
    </row>
    <row r="2" spans="3:16" ht="21" customHeight="1">
      <c r="C2" s="1"/>
      <c r="D2" s="1"/>
      <c r="E2" s="1"/>
      <c r="F2" s="1"/>
      <c r="G2" s="1"/>
      <c r="H2" s="1"/>
      <c r="I2" s="1"/>
      <c r="J2" s="1"/>
      <c r="K2" s="1"/>
      <c r="M2" s="12"/>
      <c r="N2" s="6" t="s">
        <v>2</v>
      </c>
      <c r="O2" s="7"/>
      <c r="P2" s="7"/>
    </row>
    <row r="3" spans="3:16" s="1" customFormat="1" ht="21" customHeight="1">
      <c r="C3" s="97" t="s">
        <v>3</v>
      </c>
      <c r="D3" s="97"/>
      <c r="E3" s="97"/>
      <c r="F3" s="97"/>
      <c r="G3" s="97"/>
      <c r="H3" s="97"/>
      <c r="I3" s="97"/>
      <c r="J3" s="97"/>
      <c r="K3" s="97"/>
      <c r="M3" s="97" t="s">
        <v>3</v>
      </c>
      <c r="N3" s="97"/>
      <c r="O3" s="97"/>
      <c r="P3" s="97"/>
    </row>
    <row r="4" spans="3:16" s="1" customFormat="1" ht="300.75" customHeight="1">
      <c r="C4" s="89" t="s">
        <v>4</v>
      </c>
      <c r="D4" s="89"/>
      <c r="E4" s="89"/>
      <c r="F4" s="89"/>
      <c r="G4" s="89"/>
      <c r="H4" s="89"/>
      <c r="I4" s="89"/>
      <c r="J4" s="89"/>
      <c r="K4" s="89"/>
      <c r="M4" s="89" t="s">
        <v>5</v>
      </c>
      <c r="N4" s="89"/>
      <c r="O4" s="89"/>
      <c r="P4" s="89"/>
    </row>
    <row r="5" spans="3:16" s="1" customFormat="1" ht="21" customHeight="1">
      <c r="C5" s="97" t="s">
        <v>6</v>
      </c>
      <c r="D5" s="97"/>
      <c r="E5" s="97"/>
      <c r="F5" s="97"/>
      <c r="G5" s="97"/>
      <c r="H5" s="97"/>
      <c r="I5" s="97"/>
      <c r="J5" s="97"/>
      <c r="K5" s="97"/>
      <c r="M5" s="88" t="s">
        <v>6</v>
      </c>
      <c r="N5" s="88"/>
      <c r="O5" s="88"/>
      <c r="P5" s="88"/>
    </row>
    <row r="6" spans="3:16" ht="28.5">
      <c r="C6" s="98" t="s">
        <v>7</v>
      </c>
      <c r="D6" s="98"/>
      <c r="E6" s="99"/>
      <c r="F6" s="4" t="s">
        <v>8</v>
      </c>
      <c r="G6" s="4" t="s">
        <v>9</v>
      </c>
      <c r="H6" s="4" t="s">
        <v>10</v>
      </c>
      <c r="M6" s="59" t="s">
        <v>11</v>
      </c>
      <c r="N6" s="59" t="s">
        <v>12</v>
      </c>
      <c r="O6" s="59" t="s">
        <v>13</v>
      </c>
      <c r="P6" s="76" t="s">
        <v>14</v>
      </c>
    </row>
    <row r="7" spans="3:16" ht="21" customHeight="1">
      <c r="C7" s="90" t="s">
        <v>15</v>
      </c>
      <c r="D7" s="91"/>
      <c r="E7" s="92"/>
      <c r="F7" s="8">
        <v>3.15</v>
      </c>
      <c r="G7" s="9">
        <f>H7/(F7*62.4)</f>
        <v>0.96662596662596656</v>
      </c>
      <c r="H7" s="10">
        <v>190</v>
      </c>
      <c r="I7" s="11" t="s">
        <v>16</v>
      </c>
      <c r="J7" s="5">
        <f>H7</f>
        <v>190</v>
      </c>
      <c r="K7" s="2" t="s">
        <v>17</v>
      </c>
      <c r="M7" s="68"/>
      <c r="N7" s="69"/>
      <c r="O7" s="61"/>
      <c r="P7" s="62"/>
    </row>
    <row r="8" spans="3:16" ht="21" customHeight="1">
      <c r="C8" s="90" t="s">
        <v>18</v>
      </c>
      <c r="D8" s="91"/>
      <c r="E8" s="92"/>
      <c r="F8" s="8"/>
      <c r="G8" s="9"/>
      <c r="H8" s="10"/>
      <c r="M8" s="70"/>
      <c r="N8" s="71"/>
      <c r="O8" s="51"/>
      <c r="P8" s="63"/>
    </row>
    <row r="9" spans="3:16" ht="21" customHeight="1">
      <c r="C9" s="90" t="s">
        <v>18</v>
      </c>
      <c r="D9" s="91"/>
      <c r="E9" s="92"/>
      <c r="F9" s="8"/>
      <c r="G9" s="9"/>
      <c r="H9" s="10"/>
      <c r="M9" s="72"/>
      <c r="N9" s="73"/>
      <c r="O9" s="64"/>
      <c r="P9" s="65"/>
    </row>
    <row r="10" spans="3:16" ht="21" customHeight="1">
      <c r="C10" s="97" t="s">
        <v>19</v>
      </c>
      <c r="D10" s="97"/>
      <c r="E10" s="97"/>
      <c r="F10" s="97"/>
      <c r="G10" s="97"/>
      <c r="H10" s="97"/>
      <c r="I10" s="97"/>
      <c r="J10" s="97"/>
      <c r="K10" s="97"/>
      <c r="M10" s="86" t="s">
        <v>19</v>
      </c>
      <c r="N10" s="86"/>
      <c r="O10" s="86"/>
      <c r="P10" s="86"/>
    </row>
    <row r="11" spans="3:16" ht="21" customHeight="1">
      <c r="C11" s="90" t="s">
        <v>20</v>
      </c>
      <c r="D11" s="91"/>
      <c r="E11" s="92"/>
      <c r="F11" s="8"/>
      <c r="G11" s="9"/>
      <c r="H11" s="10"/>
      <c r="I11" s="11"/>
      <c r="J11" s="13"/>
      <c r="M11" s="74"/>
      <c r="N11" s="75"/>
      <c r="O11" s="66"/>
      <c r="P11" s="67"/>
    </row>
    <row r="12" spans="3:16" ht="21" customHeight="1">
      <c r="C12" s="97" t="s">
        <v>21</v>
      </c>
      <c r="D12" s="97"/>
      <c r="E12" s="97"/>
      <c r="F12" s="97"/>
      <c r="G12" s="97"/>
      <c r="H12" s="97"/>
      <c r="I12" s="97"/>
      <c r="J12" s="97"/>
      <c r="K12" s="97"/>
      <c r="M12" s="86" t="s">
        <v>21</v>
      </c>
      <c r="N12" s="86"/>
      <c r="O12" s="86"/>
      <c r="P12" s="86"/>
    </row>
    <row r="13" spans="3:16" ht="21" customHeight="1">
      <c r="C13" s="90" t="s">
        <v>22</v>
      </c>
      <c r="D13" s="91"/>
      <c r="E13" s="92"/>
      <c r="F13" s="8">
        <v>2.3199999999999998</v>
      </c>
      <c r="G13" s="9">
        <f>H13/(F13*62.4)</f>
        <v>2.0722811671087533</v>
      </c>
      <c r="H13" s="10">
        <v>300</v>
      </c>
      <c r="I13" s="11" t="s">
        <v>23</v>
      </c>
      <c r="J13" s="5">
        <f>SUM(H13:H18)</f>
        <v>480</v>
      </c>
      <c r="K13" s="2" t="s">
        <v>17</v>
      </c>
      <c r="M13" s="68"/>
      <c r="N13" s="69"/>
      <c r="O13" s="61"/>
      <c r="P13" s="62"/>
    </row>
    <row r="14" spans="3:16" ht="21" customHeight="1">
      <c r="C14" s="90" t="s">
        <v>24</v>
      </c>
      <c r="D14" s="91"/>
      <c r="E14" s="92"/>
      <c r="F14" s="8">
        <v>3</v>
      </c>
      <c r="G14" s="9">
        <f>H14/(F14*62.4)</f>
        <v>0.96153846153846156</v>
      </c>
      <c r="H14" s="10">
        <v>180</v>
      </c>
      <c r="I14" s="11" t="s">
        <v>25</v>
      </c>
      <c r="J14" s="5">
        <f>J7/J13</f>
        <v>0.39583333333333331</v>
      </c>
      <c r="M14" s="70"/>
      <c r="N14" s="71"/>
      <c r="O14" s="51"/>
      <c r="P14" s="63"/>
    </row>
    <row r="15" spans="3:16" ht="21" customHeight="1">
      <c r="C15" s="90" t="s">
        <v>21</v>
      </c>
      <c r="D15" s="91"/>
      <c r="E15" s="92"/>
      <c r="F15" s="8"/>
      <c r="G15" s="9"/>
      <c r="H15" s="10"/>
      <c r="I15" s="11" t="s">
        <v>26</v>
      </c>
      <c r="J15" s="5">
        <f>H11/SUM(H13:H18)</f>
        <v>0</v>
      </c>
      <c r="M15" s="70"/>
      <c r="N15" s="71"/>
      <c r="O15" s="51"/>
      <c r="P15" s="63"/>
    </row>
    <row r="16" spans="3:16" ht="21" customHeight="1">
      <c r="C16" s="90" t="s">
        <v>21</v>
      </c>
      <c r="D16" s="91"/>
      <c r="E16" s="92"/>
      <c r="F16" s="8"/>
      <c r="G16" s="9"/>
      <c r="H16" s="10"/>
      <c r="J16" s="13"/>
      <c r="M16" s="70"/>
      <c r="N16" s="71"/>
      <c r="O16" s="51"/>
      <c r="P16" s="63"/>
    </row>
    <row r="17" spans="1:16" ht="21" customHeight="1">
      <c r="C17" s="90" t="s">
        <v>21</v>
      </c>
      <c r="D17" s="91"/>
      <c r="E17" s="92"/>
      <c r="F17" s="8"/>
      <c r="G17" s="9"/>
      <c r="H17" s="10"/>
      <c r="I17" s="11" t="s">
        <v>27</v>
      </c>
      <c r="J17" s="5">
        <f>J13/100</f>
        <v>4.8</v>
      </c>
      <c r="M17" s="70"/>
      <c r="N17" s="71"/>
      <c r="O17" s="51"/>
      <c r="P17" s="63"/>
    </row>
    <row r="18" spans="1:16" ht="21" customHeight="1">
      <c r="C18" s="90" t="s">
        <v>21</v>
      </c>
      <c r="D18" s="91"/>
      <c r="E18" s="92"/>
      <c r="F18" s="8"/>
      <c r="G18" s="9"/>
      <c r="H18" s="10"/>
      <c r="M18" s="72"/>
      <c r="N18" s="73"/>
      <c r="O18" s="64"/>
      <c r="P18" s="65"/>
    </row>
    <row r="19" spans="1:16" s="1" customFormat="1" ht="21" customHeight="1">
      <c r="C19" s="97" t="s">
        <v>28</v>
      </c>
      <c r="D19" s="97"/>
      <c r="E19" s="97"/>
      <c r="F19" s="97"/>
      <c r="G19" s="97"/>
      <c r="H19" s="97"/>
      <c r="I19" s="97"/>
      <c r="J19" s="97"/>
      <c r="K19" s="97"/>
      <c r="M19" s="87" t="s">
        <v>28</v>
      </c>
      <c r="N19" s="87"/>
      <c r="O19" s="87"/>
      <c r="P19" s="87"/>
    </row>
    <row r="20" spans="1:16" s="1" customFormat="1" ht="60.75" customHeight="1">
      <c r="C20" s="89" t="s">
        <v>29</v>
      </c>
      <c r="D20" s="89"/>
      <c r="E20" s="89"/>
      <c r="F20" s="89"/>
      <c r="G20" s="89"/>
      <c r="H20" s="89"/>
      <c r="I20" s="89"/>
      <c r="J20" s="89"/>
      <c r="K20" s="89"/>
      <c r="M20" s="94" t="s">
        <v>30</v>
      </c>
      <c r="N20" s="94"/>
      <c r="O20" s="94"/>
      <c r="P20" s="94"/>
    </row>
    <row r="21" spans="1:16" ht="30" customHeight="1">
      <c r="C21" s="98" t="s">
        <v>7</v>
      </c>
      <c r="D21" s="98"/>
      <c r="E21" s="99"/>
      <c r="F21" s="14" t="s">
        <v>8</v>
      </c>
      <c r="G21" s="14" t="s">
        <v>9</v>
      </c>
      <c r="H21" s="14" t="s">
        <v>31</v>
      </c>
      <c r="M21" s="59" t="s">
        <v>11</v>
      </c>
      <c r="N21" s="59" t="s">
        <v>12</v>
      </c>
      <c r="O21" s="59" t="s">
        <v>13</v>
      </c>
      <c r="P21" s="76" t="s">
        <v>14</v>
      </c>
    </row>
    <row r="22" spans="1:16" ht="21" customHeight="1">
      <c r="C22" s="90" t="s">
        <v>32</v>
      </c>
      <c r="D22" s="91"/>
      <c r="E22" s="92"/>
      <c r="F22" s="15">
        <v>0.91</v>
      </c>
      <c r="G22" s="16">
        <f>H22/(F22*62.4)</f>
        <v>9.6858269935193017E-2</v>
      </c>
      <c r="H22" s="15">
        <v>5.5</v>
      </c>
      <c r="M22" s="71"/>
      <c r="N22" s="71"/>
      <c r="O22" s="51"/>
      <c r="P22" s="52"/>
    </row>
    <row r="23" spans="1:16" ht="21" customHeight="1">
      <c r="C23" s="90" t="s">
        <v>33</v>
      </c>
      <c r="D23" s="91"/>
      <c r="E23" s="92"/>
      <c r="F23" s="8"/>
      <c r="G23" s="9"/>
      <c r="H23" s="8"/>
      <c r="J23" s="98" t="s">
        <v>34</v>
      </c>
      <c r="K23" s="106"/>
      <c r="M23" s="71"/>
      <c r="N23" s="71"/>
      <c r="O23" s="51"/>
      <c r="P23" s="52"/>
    </row>
    <row r="24" spans="1:16" ht="21" customHeight="1">
      <c r="C24" s="90" t="s">
        <v>33</v>
      </c>
      <c r="D24" s="91"/>
      <c r="E24" s="92"/>
      <c r="F24" s="8"/>
      <c r="G24" s="9"/>
      <c r="H24" s="8"/>
      <c r="J24" s="9">
        <f>SUM(H22:H24)</f>
        <v>5.5</v>
      </c>
      <c r="K24" s="2" t="s">
        <v>17</v>
      </c>
      <c r="M24" s="71"/>
      <c r="N24" s="71"/>
      <c r="O24" s="51"/>
      <c r="P24" s="52"/>
    </row>
    <row r="25" spans="1:16" s="1" customFormat="1" ht="21" customHeight="1">
      <c r="C25" s="97" t="s">
        <v>35</v>
      </c>
      <c r="D25" s="97"/>
      <c r="E25" s="97"/>
      <c r="F25" s="97"/>
      <c r="G25" s="97"/>
      <c r="H25" s="97"/>
      <c r="I25" s="97"/>
      <c r="J25" s="97"/>
      <c r="K25" s="97"/>
      <c r="M25" s="83" t="s">
        <v>35</v>
      </c>
      <c r="N25" s="83"/>
      <c r="O25" s="83"/>
      <c r="P25" s="83"/>
    </row>
    <row r="26" spans="1:16" s="1" customFormat="1" ht="122.25" customHeight="1">
      <c r="C26" s="89" t="s">
        <v>36</v>
      </c>
      <c r="D26" s="89"/>
      <c r="E26" s="89"/>
      <c r="F26" s="89"/>
      <c r="G26" s="89"/>
      <c r="H26" s="89"/>
      <c r="I26" s="89"/>
      <c r="J26" s="89"/>
      <c r="K26" s="89"/>
      <c r="M26" s="95" t="s">
        <v>37</v>
      </c>
      <c r="N26" s="95"/>
      <c r="O26" s="95"/>
      <c r="P26" s="95"/>
    </row>
    <row r="27" spans="1:16" ht="30" customHeight="1">
      <c r="C27" s="98" t="s">
        <v>38</v>
      </c>
      <c r="D27" s="98"/>
      <c r="E27" s="109"/>
      <c r="F27" s="14" t="s">
        <v>39</v>
      </c>
      <c r="G27" s="14" t="s">
        <v>40</v>
      </c>
      <c r="H27" s="14" t="s">
        <v>41</v>
      </c>
      <c r="I27" s="14" t="s">
        <v>42</v>
      </c>
      <c r="J27" s="14" t="s">
        <v>43</v>
      </c>
      <c r="K27" s="4" t="s">
        <v>9</v>
      </c>
      <c r="L27" s="4"/>
      <c r="M27" s="59" t="s">
        <v>11</v>
      </c>
      <c r="N27" s="59" t="s">
        <v>12</v>
      </c>
      <c r="O27" s="59" t="s">
        <v>13</v>
      </c>
      <c r="P27" s="76" t="s">
        <v>14</v>
      </c>
    </row>
    <row r="28" spans="1:16" ht="21" customHeight="1">
      <c r="A28" s="2" t="s">
        <v>44</v>
      </c>
      <c r="C28" s="90" t="s">
        <v>45</v>
      </c>
      <c r="D28" s="91"/>
      <c r="E28" s="92"/>
      <c r="F28" s="17">
        <v>45</v>
      </c>
      <c r="G28" s="18">
        <v>1.8</v>
      </c>
      <c r="H28" s="16">
        <f>G28*(F28/100)+G28</f>
        <v>2.6100000000000003</v>
      </c>
      <c r="I28" s="15">
        <v>300</v>
      </c>
      <c r="J28" s="16">
        <f>(I28*(F28/100))+I28</f>
        <v>435</v>
      </c>
      <c r="K28" s="16">
        <f>(I28/(G28*62.4))</f>
        <v>2.6709401709401712</v>
      </c>
      <c r="L28" s="19"/>
      <c r="M28" s="71"/>
      <c r="N28" s="71"/>
      <c r="O28" s="51"/>
      <c r="P28" s="52"/>
    </row>
    <row r="29" spans="1:16" ht="21" customHeight="1">
      <c r="A29" s="2" t="s">
        <v>46</v>
      </c>
      <c r="C29" s="90" t="s">
        <v>47</v>
      </c>
      <c r="D29" s="91"/>
      <c r="E29" s="92"/>
      <c r="F29" s="17">
        <v>20</v>
      </c>
      <c r="G29" s="18">
        <v>0.38</v>
      </c>
      <c r="H29" s="16">
        <f>G29*(F29/100)+G29</f>
        <v>0.45600000000000002</v>
      </c>
      <c r="I29" s="15">
        <v>212</v>
      </c>
      <c r="J29" s="16">
        <f t="shared" ref="J29:J33" si="0">(I29*(F29/100))+I29</f>
        <v>254.4</v>
      </c>
      <c r="K29" s="16">
        <f t="shared" ref="K29:K33" si="1">(I29/(G29*62.4))</f>
        <v>8.9406207827260467</v>
      </c>
      <c r="L29" s="19"/>
      <c r="M29" s="71" t="s">
        <v>44</v>
      </c>
      <c r="N29" s="71"/>
      <c r="O29" s="51"/>
      <c r="P29" s="52"/>
    </row>
    <row r="30" spans="1:16" ht="21" customHeight="1">
      <c r="C30" s="90" t="s">
        <v>48</v>
      </c>
      <c r="D30" s="91"/>
      <c r="E30" s="92"/>
      <c r="F30" s="17">
        <v>12</v>
      </c>
      <c r="G30" s="18">
        <f>18.5/62.4</f>
        <v>0.29647435897435898</v>
      </c>
      <c r="H30" s="16">
        <f t="shared" ref="H30:H34" si="2">G30*(F30/100)+G30</f>
        <v>0.33205128205128204</v>
      </c>
      <c r="I30" s="15">
        <v>85</v>
      </c>
      <c r="J30" s="16">
        <f t="shared" si="0"/>
        <v>95.2</v>
      </c>
      <c r="K30" s="16">
        <f t="shared" si="1"/>
        <v>4.5945945945945947</v>
      </c>
      <c r="L30" s="19"/>
      <c r="M30" s="71" t="s">
        <v>44</v>
      </c>
      <c r="N30" s="71"/>
      <c r="O30" s="51"/>
      <c r="P30" s="52"/>
    </row>
    <row r="31" spans="1:16" ht="21" customHeight="1">
      <c r="C31" s="90" t="s">
        <v>49</v>
      </c>
      <c r="D31" s="91"/>
      <c r="E31" s="92"/>
      <c r="F31" s="17">
        <v>0</v>
      </c>
      <c r="G31" s="18">
        <v>0.08</v>
      </c>
      <c r="H31" s="16">
        <f t="shared" si="2"/>
        <v>0.08</v>
      </c>
      <c r="I31" s="15">
        <v>20</v>
      </c>
      <c r="J31" s="16">
        <f t="shared" si="0"/>
        <v>20</v>
      </c>
      <c r="K31" s="16">
        <f t="shared" si="1"/>
        <v>4.0064102564102564</v>
      </c>
      <c r="L31" s="19"/>
      <c r="M31" s="71" t="s">
        <v>44</v>
      </c>
      <c r="N31" s="71"/>
      <c r="O31" s="51"/>
      <c r="P31" s="52"/>
    </row>
    <row r="32" spans="1:16" ht="21" customHeight="1">
      <c r="C32" s="90" t="s">
        <v>50</v>
      </c>
      <c r="D32" s="91"/>
      <c r="E32" s="92"/>
      <c r="F32" s="17"/>
      <c r="G32" s="18"/>
      <c r="H32" s="16"/>
      <c r="I32" s="15"/>
      <c r="J32" s="16"/>
      <c r="K32" s="16"/>
      <c r="L32" s="19"/>
      <c r="M32" s="71"/>
      <c r="N32" s="71"/>
      <c r="O32" s="51"/>
      <c r="P32" s="52"/>
    </row>
    <row r="33" spans="3:16" ht="21" customHeight="1">
      <c r="C33" s="90" t="s">
        <v>50</v>
      </c>
      <c r="D33" s="91"/>
      <c r="E33" s="92"/>
      <c r="F33" s="15"/>
      <c r="G33" s="18"/>
      <c r="H33" s="16"/>
      <c r="I33" s="15"/>
      <c r="J33" s="16"/>
      <c r="K33" s="16"/>
      <c r="L33" s="19"/>
      <c r="M33" s="71"/>
      <c r="N33" s="71"/>
      <c r="O33" s="51"/>
      <c r="P33" s="52"/>
    </row>
    <row r="34" spans="3:16" ht="21" customHeight="1">
      <c r="C34" s="90" t="s">
        <v>50</v>
      </c>
      <c r="D34" s="91"/>
      <c r="E34" s="92"/>
      <c r="F34" s="15"/>
      <c r="G34" s="15"/>
      <c r="H34" s="16"/>
      <c r="I34" s="15"/>
      <c r="J34" s="16"/>
      <c r="K34" s="16"/>
      <c r="L34" s="19"/>
      <c r="M34" s="71"/>
      <c r="N34" s="71"/>
      <c r="O34" s="51"/>
      <c r="P34" s="52"/>
    </row>
    <row r="35" spans="3:16" ht="21" customHeight="1">
      <c r="C35" s="90" t="s">
        <v>50</v>
      </c>
      <c r="D35" s="91"/>
      <c r="E35" s="92"/>
      <c r="F35" s="15"/>
      <c r="G35" s="15"/>
      <c r="H35" s="16"/>
      <c r="I35" s="15"/>
      <c r="J35" s="16"/>
      <c r="K35" s="16"/>
      <c r="L35" s="19"/>
      <c r="M35" s="71"/>
      <c r="N35" s="71"/>
      <c r="O35" s="51"/>
      <c r="P35" s="52"/>
    </row>
    <row r="36" spans="3:16" ht="21" customHeight="1">
      <c r="C36" s="90" t="s">
        <v>50</v>
      </c>
      <c r="D36" s="91"/>
      <c r="E36" s="92"/>
      <c r="F36" s="8"/>
      <c r="G36" s="8"/>
      <c r="H36" s="9"/>
      <c r="I36" s="8"/>
      <c r="J36" s="9"/>
      <c r="K36" s="9"/>
      <c r="L36" s="19"/>
      <c r="M36" s="71"/>
      <c r="N36" s="71"/>
      <c r="O36" s="51"/>
      <c r="P36" s="52"/>
    </row>
    <row r="37" spans="3:16" ht="21" customHeight="1">
      <c r="C37" s="90" t="s">
        <v>50</v>
      </c>
      <c r="D37" s="91"/>
      <c r="E37" s="92"/>
      <c r="F37" s="8"/>
      <c r="G37" s="8"/>
      <c r="H37" s="9"/>
      <c r="I37" s="8"/>
      <c r="J37" s="9"/>
      <c r="K37" s="9"/>
      <c r="L37" s="19"/>
      <c r="M37" s="71"/>
      <c r="N37" s="71"/>
      <c r="O37" s="51"/>
      <c r="P37" s="52"/>
    </row>
    <row r="38" spans="3:16" ht="21" customHeight="1">
      <c r="C38" s="90" t="s">
        <v>50</v>
      </c>
      <c r="D38" s="91"/>
      <c r="E38" s="92"/>
      <c r="F38" s="20"/>
      <c r="G38" s="20"/>
      <c r="H38" s="9"/>
      <c r="I38" s="20"/>
      <c r="J38" s="9"/>
      <c r="K38" s="9"/>
      <c r="L38" s="19"/>
      <c r="M38" s="71"/>
      <c r="N38" s="71"/>
      <c r="O38" s="51"/>
      <c r="P38" s="52"/>
    </row>
    <row r="39" spans="3:16" ht="21" customHeight="1">
      <c r="C39" s="90" t="s">
        <v>50</v>
      </c>
      <c r="D39" s="91"/>
      <c r="E39" s="92"/>
      <c r="F39" s="20"/>
      <c r="G39" s="20"/>
      <c r="H39" s="9"/>
      <c r="I39" s="20"/>
      <c r="J39" s="9"/>
      <c r="K39" s="9"/>
      <c r="L39" s="19"/>
      <c r="M39" s="71"/>
      <c r="N39" s="71"/>
      <c r="O39" s="51"/>
      <c r="P39" s="52"/>
    </row>
    <row r="40" spans="3:16" ht="21" customHeight="1">
      <c r="C40" s="90" t="s">
        <v>50</v>
      </c>
      <c r="D40" s="91"/>
      <c r="E40" s="92"/>
      <c r="F40" s="20"/>
      <c r="G40" s="20"/>
      <c r="H40" s="9"/>
      <c r="I40" s="20"/>
      <c r="J40" s="9"/>
      <c r="K40" s="9"/>
      <c r="L40" s="19"/>
      <c r="M40" s="71"/>
      <c r="N40" s="71"/>
      <c r="O40" s="51"/>
      <c r="P40" s="52"/>
    </row>
    <row r="41" spans="3:16" s="1" customFormat="1" ht="21" customHeight="1">
      <c r="C41" s="97" t="s">
        <v>51</v>
      </c>
      <c r="D41" s="97"/>
      <c r="E41" s="97"/>
      <c r="F41" s="97"/>
      <c r="G41" s="97"/>
      <c r="H41" s="97"/>
      <c r="I41" s="97"/>
      <c r="J41" s="97"/>
      <c r="K41" s="97"/>
      <c r="M41" s="83" t="s">
        <v>51</v>
      </c>
      <c r="N41" s="83"/>
      <c r="O41" s="83"/>
      <c r="P41" s="83"/>
    </row>
    <row r="42" spans="3:16" s="1" customFormat="1" ht="223.5" customHeight="1">
      <c r="C42" s="89" t="s">
        <v>52</v>
      </c>
      <c r="D42" s="89"/>
      <c r="E42" s="89"/>
      <c r="F42" s="89"/>
      <c r="G42" s="89"/>
      <c r="H42" s="89"/>
      <c r="I42" s="89"/>
      <c r="J42" s="89"/>
      <c r="K42" s="89"/>
      <c r="M42" s="96" t="s">
        <v>53</v>
      </c>
      <c r="N42" s="96"/>
      <c r="O42" s="96"/>
      <c r="P42" s="96"/>
    </row>
    <row r="43" spans="3:16" s="1" customFormat="1" ht="21" customHeight="1">
      <c r="C43" s="97" t="s">
        <v>54</v>
      </c>
      <c r="D43" s="97"/>
      <c r="E43" s="97"/>
      <c r="F43" s="97"/>
      <c r="G43" s="97"/>
      <c r="H43" s="97"/>
      <c r="I43" s="97"/>
      <c r="J43" s="97"/>
      <c r="K43" s="97"/>
      <c r="M43" s="88" t="s">
        <v>54</v>
      </c>
      <c r="N43" s="88"/>
      <c r="O43" s="88"/>
      <c r="P43" s="88"/>
    </row>
    <row r="44" spans="3:16" ht="30" customHeight="1">
      <c r="C44" s="98" t="s">
        <v>55</v>
      </c>
      <c r="D44" s="98"/>
      <c r="E44" s="99"/>
      <c r="F44" s="14" t="s">
        <v>56</v>
      </c>
      <c r="G44" s="14" t="s">
        <v>57</v>
      </c>
      <c r="H44" s="14" t="s">
        <v>58</v>
      </c>
      <c r="I44" s="22" t="s">
        <v>59</v>
      </c>
      <c r="J44" s="1"/>
      <c r="M44" s="59" t="s">
        <v>11</v>
      </c>
      <c r="N44" s="59" t="s">
        <v>12</v>
      </c>
      <c r="O44" s="59" t="s">
        <v>13</v>
      </c>
      <c r="P44" s="76" t="s">
        <v>14</v>
      </c>
    </row>
    <row r="45" spans="3:16" ht="21" customHeight="1">
      <c r="C45" s="116" t="s">
        <v>60</v>
      </c>
      <c r="D45" s="119"/>
      <c r="E45" s="120"/>
      <c r="F45" s="23">
        <v>8.9</v>
      </c>
      <c r="G45" s="23">
        <v>12</v>
      </c>
      <c r="H45" s="24">
        <v>40</v>
      </c>
      <c r="I45" s="16">
        <f>(((G45*J17)*0.6)/128)*F45</f>
        <v>2.4029999999999996</v>
      </c>
      <c r="M45" s="71" t="s">
        <v>44</v>
      </c>
      <c r="N45" s="71"/>
      <c r="O45" s="51"/>
      <c r="P45" s="52"/>
    </row>
    <row r="46" spans="3:16" ht="21" customHeight="1">
      <c r="C46" s="116" t="s">
        <v>61</v>
      </c>
      <c r="D46" s="119"/>
      <c r="E46" s="120"/>
      <c r="F46" s="23">
        <v>8.3000000000000007</v>
      </c>
      <c r="G46" s="23">
        <v>1.5</v>
      </c>
      <c r="H46" s="24">
        <v>10</v>
      </c>
      <c r="I46" s="16">
        <f>(((G46*J17)*0.9)/128)*F46</f>
        <v>0.42018749999999999</v>
      </c>
      <c r="M46" s="71" t="s">
        <v>44</v>
      </c>
      <c r="N46" s="71"/>
      <c r="O46" s="51"/>
      <c r="P46" s="52"/>
    </row>
    <row r="47" spans="3:16" ht="21" customHeight="1">
      <c r="C47" s="116" t="s">
        <v>62</v>
      </c>
      <c r="D47" s="119"/>
      <c r="E47" s="120"/>
      <c r="F47" s="23">
        <v>9.1</v>
      </c>
      <c r="G47" s="23">
        <v>4</v>
      </c>
      <c r="H47" s="24">
        <v>35</v>
      </c>
      <c r="I47" s="16">
        <f>(((G47*J17)*0.65)/128)*F47</f>
        <v>0.88724999999999998</v>
      </c>
      <c r="J47" s="108" t="s">
        <v>63</v>
      </c>
      <c r="K47" s="106"/>
      <c r="M47" s="71" t="s">
        <v>44</v>
      </c>
      <c r="N47" s="71"/>
      <c r="O47" s="51"/>
      <c r="P47" s="52"/>
    </row>
    <row r="48" spans="3:16" ht="21" customHeight="1">
      <c r="C48" s="90" t="s">
        <v>64</v>
      </c>
      <c r="D48" s="91"/>
      <c r="E48" s="92"/>
      <c r="F48" s="23"/>
      <c r="G48" s="23"/>
      <c r="H48" s="24"/>
      <c r="I48" s="16"/>
      <c r="J48" s="16">
        <f>SUM(I45:I53)</f>
        <v>3.7104374999999994</v>
      </c>
      <c r="K48" s="2" t="s">
        <v>17</v>
      </c>
      <c r="M48" s="71"/>
      <c r="N48" s="71"/>
      <c r="O48" s="51"/>
      <c r="P48" s="52"/>
    </row>
    <row r="49" spans="3:16" ht="21" customHeight="1">
      <c r="C49" s="90" t="s">
        <v>64</v>
      </c>
      <c r="D49" s="91"/>
      <c r="E49" s="92"/>
      <c r="F49" s="25"/>
      <c r="G49" s="25"/>
      <c r="H49" s="26"/>
      <c r="I49" s="9"/>
      <c r="J49" s="27"/>
      <c r="M49" s="71"/>
      <c r="N49" s="71"/>
      <c r="O49" s="51"/>
      <c r="P49" s="52"/>
    </row>
    <row r="50" spans="3:16" ht="21" customHeight="1">
      <c r="C50" s="90" t="s">
        <v>64</v>
      </c>
      <c r="D50" s="91"/>
      <c r="E50" s="92"/>
      <c r="F50" s="25"/>
      <c r="G50" s="25"/>
      <c r="H50" s="26"/>
      <c r="I50" s="9"/>
      <c r="J50" s="27"/>
      <c r="M50" s="71"/>
      <c r="N50" s="71"/>
      <c r="O50" s="51"/>
      <c r="P50" s="52"/>
    </row>
    <row r="51" spans="3:16" ht="21" customHeight="1">
      <c r="C51" s="90" t="s">
        <v>64</v>
      </c>
      <c r="D51" s="91"/>
      <c r="E51" s="92"/>
      <c r="F51" s="25"/>
      <c r="G51" s="25"/>
      <c r="H51" s="26"/>
      <c r="I51" s="9"/>
      <c r="J51" s="27"/>
      <c r="M51" s="71"/>
      <c r="N51" s="71"/>
      <c r="O51" s="51"/>
      <c r="P51" s="52"/>
    </row>
    <row r="52" spans="3:16" ht="21" customHeight="1">
      <c r="C52" s="90" t="s">
        <v>64</v>
      </c>
      <c r="D52" s="91"/>
      <c r="E52" s="92"/>
      <c r="F52" s="25"/>
      <c r="G52" s="25"/>
      <c r="H52" s="26"/>
      <c r="I52" s="9"/>
      <c r="J52" s="27"/>
      <c r="M52" s="71"/>
      <c r="N52" s="71"/>
      <c r="O52" s="51"/>
      <c r="P52" s="52"/>
    </row>
    <row r="53" spans="3:16" ht="21" customHeight="1">
      <c r="C53" s="90" t="s">
        <v>64</v>
      </c>
      <c r="D53" s="91"/>
      <c r="E53" s="92"/>
      <c r="F53" s="25"/>
      <c r="G53" s="25"/>
      <c r="H53" s="26"/>
      <c r="I53" s="9"/>
      <c r="M53" s="71"/>
      <c r="N53" s="71"/>
      <c r="O53" s="51"/>
      <c r="P53" s="52"/>
    </row>
    <row r="54" spans="3:16" s="1" customFormat="1" ht="21" customHeight="1">
      <c r="C54" s="97" t="s">
        <v>65</v>
      </c>
      <c r="D54" s="97"/>
      <c r="E54" s="97"/>
      <c r="F54" s="97"/>
      <c r="G54" s="97"/>
      <c r="H54" s="97"/>
      <c r="I54" s="97"/>
      <c r="J54" s="97"/>
      <c r="K54" s="97"/>
      <c r="M54" s="85" t="s">
        <v>65</v>
      </c>
      <c r="N54" s="85"/>
      <c r="O54" s="85"/>
      <c r="P54" s="85"/>
    </row>
    <row r="55" spans="3:16" ht="30" customHeight="1">
      <c r="C55" s="98" t="s">
        <v>66</v>
      </c>
      <c r="D55" s="99"/>
      <c r="E55" s="107"/>
      <c r="F55" s="14" t="s">
        <v>67</v>
      </c>
      <c r="G55" s="14" t="s">
        <v>9</v>
      </c>
      <c r="H55" s="14" t="s">
        <v>10</v>
      </c>
      <c r="M55" s="59" t="s">
        <v>11</v>
      </c>
      <c r="N55" s="59" t="s">
        <v>12</v>
      </c>
      <c r="O55" s="59" t="s">
        <v>13</v>
      </c>
      <c r="P55" s="76" t="s">
        <v>14</v>
      </c>
    </row>
    <row r="56" spans="3:16" ht="21" customHeight="1">
      <c r="C56" s="90" t="s">
        <v>68</v>
      </c>
      <c r="D56" s="91"/>
      <c r="E56" s="92"/>
      <c r="F56" s="23"/>
      <c r="G56" s="16"/>
      <c r="H56" s="23"/>
      <c r="M56" s="71"/>
      <c r="N56" s="71"/>
      <c r="O56" s="51"/>
      <c r="P56" s="52"/>
    </row>
    <row r="57" spans="3:16" ht="21" customHeight="1">
      <c r="C57" s="90" t="s">
        <v>68</v>
      </c>
      <c r="D57" s="91"/>
      <c r="E57" s="92"/>
      <c r="F57" s="23"/>
      <c r="G57" s="16"/>
      <c r="H57" s="23"/>
      <c r="J57" s="98" t="s">
        <v>69</v>
      </c>
      <c r="K57" s="106"/>
      <c r="M57" s="71"/>
      <c r="N57" s="71"/>
      <c r="O57" s="51"/>
      <c r="P57" s="52"/>
    </row>
    <row r="58" spans="3:16" ht="21" customHeight="1">
      <c r="C58" s="90" t="s">
        <v>68</v>
      </c>
      <c r="D58" s="91"/>
      <c r="E58" s="92"/>
      <c r="F58" s="23"/>
      <c r="G58" s="16"/>
      <c r="H58" s="15"/>
      <c r="J58" s="16">
        <f>SUM(H56:H63)</f>
        <v>0</v>
      </c>
      <c r="K58" s="2" t="s">
        <v>17</v>
      </c>
      <c r="M58" s="71"/>
      <c r="N58" s="71"/>
      <c r="O58" s="51"/>
      <c r="P58" s="52"/>
    </row>
    <row r="59" spans="3:16" ht="21" customHeight="1">
      <c r="C59" s="90" t="s">
        <v>68</v>
      </c>
      <c r="D59" s="91"/>
      <c r="E59" s="92"/>
      <c r="F59" s="25"/>
      <c r="G59" s="9"/>
      <c r="H59" s="25"/>
      <c r="J59" s="27"/>
      <c r="M59" s="71"/>
      <c r="N59" s="71"/>
      <c r="O59" s="51"/>
      <c r="P59" s="52"/>
    </row>
    <row r="60" spans="3:16" ht="21" customHeight="1">
      <c r="C60" s="90" t="s">
        <v>68</v>
      </c>
      <c r="D60" s="91"/>
      <c r="E60" s="92"/>
      <c r="F60" s="25"/>
      <c r="G60" s="9"/>
      <c r="H60" s="25"/>
      <c r="J60" s="27"/>
      <c r="M60" s="71"/>
      <c r="N60" s="71"/>
      <c r="O60" s="51"/>
      <c r="P60" s="52"/>
    </row>
    <row r="61" spans="3:16" ht="21" customHeight="1">
      <c r="C61" s="90" t="s">
        <v>68</v>
      </c>
      <c r="D61" s="91"/>
      <c r="E61" s="92"/>
      <c r="F61" s="25"/>
      <c r="G61" s="9"/>
      <c r="H61" s="25"/>
      <c r="J61" s="27"/>
      <c r="M61" s="71"/>
      <c r="N61" s="71"/>
      <c r="O61" s="51"/>
      <c r="P61" s="52"/>
    </row>
    <row r="62" spans="3:16" ht="21" customHeight="1">
      <c r="C62" s="90" t="s">
        <v>68</v>
      </c>
      <c r="D62" s="91"/>
      <c r="E62" s="92"/>
      <c r="F62" s="25"/>
      <c r="G62" s="9"/>
      <c r="H62" s="25"/>
      <c r="J62" s="27"/>
      <c r="M62" s="71"/>
      <c r="N62" s="71"/>
      <c r="O62" s="51"/>
      <c r="P62" s="52"/>
    </row>
    <row r="63" spans="3:16" ht="21" customHeight="1">
      <c r="C63" s="90" t="s">
        <v>68</v>
      </c>
      <c r="D63" s="91"/>
      <c r="E63" s="92"/>
      <c r="F63" s="25"/>
      <c r="G63" s="9"/>
      <c r="H63" s="25"/>
      <c r="M63" s="71"/>
      <c r="N63" s="71"/>
      <c r="O63" s="51"/>
      <c r="P63" s="52"/>
    </row>
    <row r="64" spans="3:16" s="1" customFormat="1" ht="21" customHeight="1">
      <c r="C64" s="97" t="s">
        <v>70</v>
      </c>
      <c r="D64" s="97"/>
      <c r="E64" s="97"/>
      <c r="F64" s="97"/>
      <c r="G64" s="97"/>
      <c r="H64" s="97"/>
      <c r="I64" s="97"/>
      <c r="J64" s="97"/>
      <c r="K64" s="97"/>
    </row>
    <row r="65" spans="3:16" ht="21" customHeight="1">
      <c r="C65" s="106"/>
      <c r="D65" s="106"/>
      <c r="E65" s="106"/>
      <c r="F65" s="106"/>
      <c r="G65" s="106"/>
      <c r="I65" s="4" t="s">
        <v>10</v>
      </c>
      <c r="J65" s="4" t="s">
        <v>9</v>
      </c>
    </row>
    <row r="66" spans="3:16" ht="21" customHeight="1">
      <c r="C66" s="28" t="s">
        <v>71</v>
      </c>
      <c r="D66" s="29">
        <f>I66/J7</f>
        <v>0.88421052631578945</v>
      </c>
      <c r="G66" s="101" t="s">
        <v>72</v>
      </c>
      <c r="H66" s="102"/>
      <c r="I66" s="16">
        <f>D67*J13</f>
        <v>168</v>
      </c>
      <c r="J66" s="16">
        <f>I66/62.4</f>
        <v>2.6923076923076925</v>
      </c>
      <c r="M66" s="2" t="s">
        <v>73</v>
      </c>
    </row>
    <row r="67" spans="3:16" ht="21" customHeight="1">
      <c r="C67" s="31" t="s">
        <v>74</v>
      </c>
      <c r="D67" s="32">
        <v>0.35</v>
      </c>
      <c r="G67" s="101" t="s">
        <v>75</v>
      </c>
      <c r="H67" s="102"/>
      <c r="I67" s="16">
        <f>-((F28/100*J28)+(F29/100*J29)+(F30/100*J30)+(F31/100*J31)+(F32/100*J32)+(F33/100*J33))</f>
        <v>-258.05399999999997</v>
      </c>
      <c r="J67" s="1"/>
      <c r="M67" s="2" t="s">
        <v>76</v>
      </c>
    </row>
    <row r="68" spans="3:16" ht="21" customHeight="1">
      <c r="G68" s="101" t="s">
        <v>77</v>
      </c>
      <c r="H68" s="102"/>
      <c r="I68" s="16">
        <f>J48</f>
        <v>3.7104374999999994</v>
      </c>
      <c r="J68" s="1"/>
      <c r="M68" s="2" t="s">
        <v>78</v>
      </c>
    </row>
    <row r="69" spans="3:16" ht="21" customHeight="1">
      <c r="G69" s="101" t="s">
        <v>79</v>
      </c>
      <c r="H69" s="102"/>
      <c r="I69" s="16">
        <f>SUM(I66:I68)+I67*-2</f>
        <v>429.76443749999999</v>
      </c>
      <c r="J69" s="1"/>
      <c r="M69" s="33" t="s">
        <v>80</v>
      </c>
    </row>
    <row r="70" spans="3:16" ht="21" customHeight="1">
      <c r="C70" s="34"/>
      <c r="D70" s="34"/>
      <c r="E70" s="34"/>
      <c r="F70" s="3" t="s">
        <v>81</v>
      </c>
      <c r="G70" s="3" t="s">
        <v>82</v>
      </c>
      <c r="H70" s="3" t="s">
        <v>83</v>
      </c>
      <c r="I70" s="35" t="s">
        <v>84</v>
      </c>
      <c r="J70" s="3" t="s">
        <v>85</v>
      </c>
      <c r="K70" s="3" t="s">
        <v>86</v>
      </c>
      <c r="L70" s="4"/>
      <c r="N70" s="4"/>
      <c r="O70" s="4"/>
      <c r="P70" s="4"/>
    </row>
    <row r="71" spans="3:16" ht="21" customHeight="1">
      <c r="C71" s="30" t="s">
        <v>87</v>
      </c>
      <c r="D71" s="104" t="s">
        <v>88</v>
      </c>
      <c r="E71" s="105"/>
      <c r="F71" s="37">
        <f>J13+J7</f>
        <v>670</v>
      </c>
      <c r="G71" s="38">
        <f>SUM(H22:H24)</f>
        <v>5.5</v>
      </c>
      <c r="H71" s="38">
        <f>SUM(J28:J29)</f>
        <v>689.4</v>
      </c>
      <c r="I71" s="38">
        <f>SUM(H56:H63)</f>
        <v>0</v>
      </c>
      <c r="J71" s="38">
        <f>SUM(I67:I69)-I68</f>
        <v>171.71043750000001</v>
      </c>
      <c r="K71" s="38">
        <f>SUM(F71:J71)</f>
        <v>1536.6104375</v>
      </c>
      <c r="L71" s="21"/>
      <c r="M71" s="2" t="s">
        <v>89</v>
      </c>
      <c r="N71" s="21"/>
      <c r="O71" s="21"/>
      <c r="P71" s="21"/>
    </row>
    <row r="72" spans="3:16" ht="21" customHeight="1">
      <c r="C72" s="39" t="s">
        <v>9</v>
      </c>
      <c r="D72" s="104" t="s">
        <v>90</v>
      </c>
      <c r="E72" s="105"/>
      <c r="F72" s="40">
        <f>SUM(G13:G14)+G7</f>
        <v>4.0004455952731819</v>
      </c>
      <c r="G72" s="41">
        <f>SUM(G22:G24)</f>
        <v>9.6858269935193017E-2</v>
      </c>
      <c r="H72" s="41">
        <f>SUM(K28:K40)</f>
        <v>20.212565804671065</v>
      </c>
      <c r="I72" s="41">
        <f>SUM(G56:G63)</f>
        <v>0</v>
      </c>
      <c r="J72" s="41">
        <f>SUM(J66)</f>
        <v>2.6923076923076925</v>
      </c>
      <c r="K72" s="41">
        <f>SUM(F72:J72)</f>
        <v>27.002177362187133</v>
      </c>
      <c r="L72" s="42"/>
      <c r="M72" s="2" t="s">
        <v>91</v>
      </c>
      <c r="N72" s="42"/>
      <c r="O72" s="42"/>
      <c r="P72" s="42"/>
    </row>
    <row r="73" spans="3:16" ht="21" customHeight="1">
      <c r="C73" s="30" t="s">
        <v>92</v>
      </c>
      <c r="D73" s="104" t="s">
        <v>93</v>
      </c>
      <c r="E73" s="105"/>
      <c r="F73" s="16">
        <f>K71/27</f>
        <v>56.911497685185182</v>
      </c>
      <c r="M73" s="2" t="s">
        <v>94</v>
      </c>
    </row>
    <row r="74" spans="3:16" ht="21" customHeight="1">
      <c r="C74" s="30" t="s">
        <v>95</v>
      </c>
      <c r="D74" s="43"/>
      <c r="E74" s="36"/>
      <c r="F74" s="16">
        <f>H72/K72*100</f>
        <v>74.855318271392463</v>
      </c>
    </row>
    <row r="75" spans="3:16" ht="21" customHeight="1">
      <c r="C75" s="30"/>
      <c r="D75" s="43"/>
      <c r="F75" s="44"/>
      <c r="H75" s="45" t="s">
        <v>96</v>
      </c>
      <c r="I75" s="16">
        <f>(F73-E77)/F73*100</f>
        <v>100</v>
      </c>
      <c r="J75" s="46" t="s">
        <v>97</v>
      </c>
    </row>
    <row r="76" spans="3:16" ht="21" customHeight="1">
      <c r="C76" s="97" t="s">
        <v>98</v>
      </c>
      <c r="D76" s="97"/>
      <c r="E76" s="97"/>
      <c r="F76" s="97"/>
      <c r="G76" s="97"/>
      <c r="H76" s="97"/>
      <c r="I76" s="97"/>
      <c r="J76" s="97"/>
      <c r="K76" s="97"/>
    </row>
    <row r="77" spans="3:16" ht="21" customHeight="1">
      <c r="C77" s="33" t="s">
        <v>99</v>
      </c>
      <c r="D77" s="47"/>
      <c r="E77" s="48"/>
      <c r="F77" s="2" t="s">
        <v>100</v>
      </c>
      <c r="M77" s="2" t="s">
        <v>101</v>
      </c>
    </row>
    <row r="78" spans="3:16" ht="21" customHeight="1">
      <c r="C78" s="33" t="s">
        <v>102</v>
      </c>
      <c r="D78" s="33"/>
      <c r="E78" s="49"/>
      <c r="F78" s="2" t="s">
        <v>97</v>
      </c>
      <c r="M78" s="2" t="s">
        <v>103</v>
      </c>
    </row>
    <row r="80" spans="3:16" s="1" customFormat="1" ht="21" customHeight="1">
      <c r="C80" s="97" t="s">
        <v>104</v>
      </c>
      <c r="D80" s="97"/>
      <c r="E80" s="97"/>
      <c r="F80" s="97"/>
      <c r="G80" s="97"/>
      <c r="H80" s="97"/>
      <c r="I80" s="97"/>
      <c r="J80" s="97"/>
      <c r="K80" s="97"/>
      <c r="M80" s="97" t="s">
        <v>104</v>
      </c>
      <c r="N80" s="97"/>
      <c r="O80" s="97"/>
      <c r="P80" s="97"/>
    </row>
    <row r="81" spans="3:16" s="1" customFormat="1" ht="210" customHeight="1">
      <c r="C81" s="89" t="s">
        <v>105</v>
      </c>
      <c r="D81" s="89"/>
      <c r="E81" s="89"/>
      <c r="F81" s="89"/>
      <c r="G81" s="89"/>
      <c r="H81" s="89"/>
      <c r="I81" s="89"/>
      <c r="J81" s="89"/>
      <c r="K81" s="89"/>
      <c r="L81" s="89"/>
      <c r="M81" s="89"/>
      <c r="N81" s="89"/>
      <c r="O81" s="89"/>
      <c r="P81" s="89"/>
    </row>
    <row r="82" spans="3:16" ht="30" customHeight="1">
      <c r="C82" s="98" t="s">
        <v>7</v>
      </c>
      <c r="D82" s="98"/>
      <c r="E82" s="99"/>
      <c r="F82" s="103" t="s">
        <v>106</v>
      </c>
      <c r="G82" s="103"/>
      <c r="H82" s="103"/>
      <c r="I82" s="103"/>
      <c r="J82" s="103"/>
      <c r="K82" s="103"/>
      <c r="M82" s="59" t="s">
        <v>11</v>
      </c>
      <c r="N82" s="59" t="s">
        <v>12</v>
      </c>
      <c r="O82" s="59" t="s">
        <v>13</v>
      </c>
      <c r="P82" s="76" t="s">
        <v>14</v>
      </c>
    </row>
    <row r="83" spans="3:16" ht="21" customHeight="1">
      <c r="C83" s="93" t="s">
        <v>107</v>
      </c>
      <c r="D83" s="93"/>
      <c r="E83" s="93"/>
      <c r="F83" s="103"/>
      <c r="G83" s="103"/>
      <c r="H83" s="103"/>
      <c r="I83" s="103"/>
      <c r="J83" s="103"/>
      <c r="K83" s="103"/>
      <c r="M83" s="71"/>
      <c r="N83" s="71"/>
      <c r="O83" s="51"/>
      <c r="P83" s="52"/>
    </row>
    <row r="84" spans="3:16" ht="21" customHeight="1">
      <c r="C84" s="93" t="s">
        <v>108</v>
      </c>
      <c r="D84" s="93"/>
      <c r="E84" s="93"/>
      <c r="F84" s="103"/>
      <c r="G84" s="103"/>
      <c r="H84" s="103"/>
      <c r="I84" s="103"/>
      <c r="J84" s="103"/>
      <c r="K84" s="103"/>
      <c r="M84" s="71"/>
      <c r="N84" s="71"/>
      <c r="O84" s="51"/>
      <c r="P84" s="52"/>
    </row>
    <row r="85" spans="3:16" ht="21" customHeight="1">
      <c r="C85" s="93" t="s">
        <v>108</v>
      </c>
      <c r="D85" s="93"/>
      <c r="E85" s="93"/>
      <c r="F85" s="103"/>
      <c r="G85" s="103"/>
      <c r="H85" s="103"/>
      <c r="I85" s="103"/>
      <c r="J85" s="103"/>
      <c r="K85" s="103"/>
      <c r="M85" s="71"/>
      <c r="N85" s="71"/>
      <c r="O85" s="51"/>
      <c r="P85" s="52"/>
    </row>
    <row r="86" spans="3:16" ht="21" customHeight="1">
      <c r="C86" s="97" t="s">
        <v>109</v>
      </c>
      <c r="D86" s="97"/>
      <c r="E86" s="97"/>
      <c r="F86" s="97"/>
      <c r="G86" s="97"/>
      <c r="H86" s="97"/>
      <c r="I86" s="97"/>
      <c r="J86" s="97"/>
      <c r="K86" s="97"/>
      <c r="M86" s="83" t="s">
        <v>109</v>
      </c>
      <c r="N86" s="83"/>
      <c r="O86" s="83"/>
      <c r="P86" s="83"/>
    </row>
    <row r="87" spans="3:16" s="1" customFormat="1" ht="110.25" customHeight="1">
      <c r="C87" s="84" t="s">
        <v>110</v>
      </c>
      <c r="D87" s="84"/>
      <c r="E87" s="84"/>
      <c r="F87" s="84"/>
      <c r="G87" s="84"/>
      <c r="H87" s="84"/>
      <c r="I87" s="84"/>
      <c r="J87" s="84"/>
      <c r="K87" s="84"/>
      <c r="L87" s="84"/>
      <c r="M87" s="84"/>
      <c r="N87" s="84"/>
      <c r="O87" s="84"/>
      <c r="P87" s="84"/>
    </row>
    <row r="88" spans="3:16" ht="21" customHeight="1">
      <c r="C88" s="97" t="s">
        <v>111</v>
      </c>
      <c r="D88" s="97"/>
      <c r="E88" s="97"/>
      <c r="F88" s="97"/>
      <c r="G88" s="97"/>
      <c r="H88" s="97"/>
      <c r="I88" s="97"/>
      <c r="J88" s="97"/>
      <c r="K88" s="97"/>
      <c r="M88" s="88" t="s">
        <v>111</v>
      </c>
      <c r="N88" s="88"/>
      <c r="O88" s="88"/>
      <c r="P88" s="88"/>
    </row>
    <row r="89" spans="3:16" ht="30" customHeight="1">
      <c r="C89" s="98" t="s">
        <v>7</v>
      </c>
      <c r="D89" s="98"/>
      <c r="E89" s="99"/>
      <c r="F89" s="103" t="s">
        <v>112</v>
      </c>
      <c r="G89" s="103"/>
      <c r="H89" s="103"/>
      <c r="I89" s="103"/>
      <c r="J89" s="103"/>
      <c r="K89" s="103"/>
      <c r="M89" s="59" t="s">
        <v>11</v>
      </c>
      <c r="N89" s="59" t="s">
        <v>12</v>
      </c>
      <c r="O89" s="59" t="s">
        <v>13</v>
      </c>
      <c r="P89" s="76" t="s">
        <v>14</v>
      </c>
    </row>
    <row r="90" spans="3:16" ht="21" customHeight="1">
      <c r="C90" s="93" t="s">
        <v>113</v>
      </c>
      <c r="D90" s="93"/>
      <c r="E90" s="93"/>
      <c r="F90" s="103"/>
      <c r="G90" s="103"/>
      <c r="H90" s="103"/>
      <c r="I90" s="103"/>
      <c r="J90" s="103"/>
      <c r="K90" s="103"/>
      <c r="M90" s="71"/>
      <c r="N90" s="71"/>
      <c r="O90" s="51"/>
      <c r="P90" s="52"/>
    </row>
    <row r="91" spans="3:16" ht="21" customHeight="1">
      <c r="C91" s="93" t="s">
        <v>113</v>
      </c>
      <c r="D91" s="93"/>
      <c r="E91" s="93"/>
      <c r="F91" s="103"/>
      <c r="G91" s="103"/>
      <c r="H91" s="103"/>
      <c r="I91" s="103"/>
      <c r="J91" s="103"/>
      <c r="K91" s="103"/>
      <c r="M91" s="71"/>
      <c r="N91" s="71"/>
      <c r="O91" s="51"/>
      <c r="P91" s="52"/>
    </row>
    <row r="92" spans="3:16" ht="21" customHeight="1">
      <c r="C92" s="93" t="s">
        <v>113</v>
      </c>
      <c r="D92" s="93"/>
      <c r="E92" s="93"/>
      <c r="F92" s="103"/>
      <c r="G92" s="103"/>
      <c r="H92" s="103"/>
      <c r="I92" s="103"/>
      <c r="J92" s="103"/>
      <c r="K92" s="103"/>
      <c r="M92" s="71"/>
      <c r="N92" s="71"/>
      <c r="O92" s="51"/>
      <c r="P92" s="52"/>
    </row>
    <row r="93" spans="3:16" ht="21" customHeight="1">
      <c r="C93" s="97" t="s">
        <v>114</v>
      </c>
      <c r="D93" s="97"/>
      <c r="E93" s="97"/>
      <c r="F93" s="97"/>
      <c r="G93" s="97"/>
      <c r="H93" s="97"/>
      <c r="I93" s="97"/>
      <c r="J93" s="97"/>
      <c r="K93" s="97"/>
      <c r="M93" s="85" t="s">
        <v>114</v>
      </c>
      <c r="N93" s="85"/>
      <c r="O93" s="85"/>
      <c r="P93" s="85"/>
    </row>
    <row r="94" spans="3:16" ht="30" customHeight="1">
      <c r="C94" s="98" t="s">
        <v>7</v>
      </c>
      <c r="D94" s="98"/>
      <c r="E94" s="99"/>
      <c r="F94" s="103" t="s">
        <v>115</v>
      </c>
      <c r="G94" s="103"/>
      <c r="H94" s="103"/>
      <c r="I94" s="103"/>
      <c r="J94" s="103"/>
      <c r="K94" s="103"/>
      <c r="M94" s="59" t="s">
        <v>11</v>
      </c>
      <c r="N94" s="59" t="s">
        <v>12</v>
      </c>
      <c r="O94" s="59" t="s">
        <v>13</v>
      </c>
      <c r="P94" s="76" t="s">
        <v>14</v>
      </c>
    </row>
    <row r="95" spans="3:16" ht="21" customHeight="1">
      <c r="C95" s="93" t="s">
        <v>116</v>
      </c>
      <c r="D95" s="93"/>
      <c r="E95" s="93"/>
      <c r="F95" s="103"/>
      <c r="G95" s="103"/>
      <c r="H95" s="103"/>
      <c r="I95" s="103"/>
      <c r="J95" s="103"/>
      <c r="K95" s="103"/>
      <c r="M95" s="71"/>
      <c r="N95" s="71"/>
      <c r="O95" s="51"/>
      <c r="P95" s="52"/>
    </row>
    <row r="96" spans="3:16" ht="21" customHeight="1">
      <c r="C96" s="93" t="s">
        <v>116</v>
      </c>
      <c r="D96" s="93"/>
      <c r="E96" s="93"/>
      <c r="F96" s="103"/>
      <c r="G96" s="103"/>
      <c r="H96" s="103"/>
      <c r="I96" s="103"/>
      <c r="J96" s="103"/>
      <c r="K96" s="103"/>
      <c r="M96" s="71"/>
      <c r="N96" s="71"/>
      <c r="O96" s="51"/>
      <c r="P96" s="52"/>
    </row>
    <row r="97" spans="3:16" ht="21" customHeight="1">
      <c r="C97" s="93" t="s">
        <v>116</v>
      </c>
      <c r="D97" s="93"/>
      <c r="E97" s="93"/>
      <c r="F97" s="103"/>
      <c r="G97" s="103"/>
      <c r="H97" s="103"/>
      <c r="I97" s="103"/>
      <c r="J97" s="103"/>
      <c r="K97" s="103"/>
      <c r="M97" s="71"/>
      <c r="N97" s="71"/>
      <c r="O97" s="51"/>
      <c r="P97" s="52"/>
    </row>
    <row r="98" spans="3:16" ht="21" customHeight="1">
      <c r="C98" s="97" t="s">
        <v>117</v>
      </c>
      <c r="D98" s="97"/>
      <c r="E98" s="97"/>
      <c r="F98" s="97"/>
      <c r="G98" s="97"/>
      <c r="H98" s="97"/>
      <c r="I98" s="97"/>
      <c r="J98" s="97"/>
      <c r="K98" s="97"/>
      <c r="M98" s="83" t="s">
        <v>117</v>
      </c>
      <c r="N98" s="83"/>
      <c r="O98" s="83"/>
      <c r="P98" s="83"/>
    </row>
    <row r="99" spans="3:16" s="1" customFormat="1" ht="110.25" customHeight="1">
      <c r="C99" s="84" t="s">
        <v>118</v>
      </c>
      <c r="D99" s="84"/>
      <c r="E99" s="84"/>
      <c r="F99" s="84"/>
      <c r="G99" s="84"/>
      <c r="H99" s="84"/>
      <c r="I99" s="84"/>
      <c r="J99" s="84"/>
      <c r="K99" s="84"/>
      <c r="L99" s="84"/>
      <c r="M99" s="84"/>
      <c r="N99" s="84"/>
      <c r="O99" s="84"/>
      <c r="P99" s="84"/>
    </row>
    <row r="100" spans="3:16" ht="30" customHeight="1">
      <c r="C100" s="98" t="s">
        <v>7</v>
      </c>
      <c r="D100" s="98"/>
      <c r="E100" s="99"/>
      <c r="F100" s="103" t="s">
        <v>119</v>
      </c>
      <c r="G100" s="103"/>
      <c r="H100" s="103"/>
      <c r="I100" s="103"/>
      <c r="J100" s="103"/>
      <c r="K100" s="103"/>
      <c r="M100" s="59" t="s">
        <v>11</v>
      </c>
      <c r="N100" s="59" t="s">
        <v>12</v>
      </c>
      <c r="O100" s="59" t="s">
        <v>13</v>
      </c>
      <c r="P100" s="76" t="s">
        <v>14</v>
      </c>
    </row>
    <row r="101" spans="3:16" ht="21" customHeight="1">
      <c r="C101" s="93" t="s">
        <v>120</v>
      </c>
      <c r="D101" s="93"/>
      <c r="E101" s="93"/>
      <c r="F101" s="103"/>
      <c r="G101" s="103"/>
      <c r="H101" s="103"/>
      <c r="I101" s="103"/>
      <c r="J101" s="103"/>
      <c r="K101" s="103"/>
      <c r="M101" s="71"/>
      <c r="N101" s="71"/>
      <c r="O101" s="51"/>
      <c r="P101" s="52"/>
    </row>
    <row r="102" spans="3:16" ht="21" customHeight="1">
      <c r="C102" s="93" t="s">
        <v>120</v>
      </c>
      <c r="D102" s="93"/>
      <c r="E102" s="93"/>
      <c r="F102" s="103"/>
      <c r="G102" s="103"/>
      <c r="H102" s="103"/>
      <c r="I102" s="103"/>
      <c r="J102" s="103"/>
      <c r="K102" s="103"/>
      <c r="M102" s="71"/>
      <c r="N102" s="71"/>
      <c r="O102" s="51"/>
      <c r="P102" s="52"/>
    </row>
    <row r="103" spans="3:16" ht="21" customHeight="1">
      <c r="C103" s="93" t="s">
        <v>120</v>
      </c>
      <c r="D103" s="93"/>
      <c r="E103" s="93"/>
      <c r="F103" s="103"/>
      <c r="G103" s="103"/>
      <c r="H103" s="103"/>
      <c r="I103" s="103"/>
      <c r="J103" s="103"/>
      <c r="K103" s="103"/>
      <c r="M103" s="71"/>
      <c r="N103" s="71"/>
      <c r="O103" s="51"/>
      <c r="P103" s="52"/>
    </row>
    <row r="104" spans="3:16" ht="21" customHeight="1">
      <c r="C104" s="97" t="s">
        <v>121</v>
      </c>
      <c r="D104" s="97"/>
      <c r="E104" s="97"/>
      <c r="F104" s="97"/>
      <c r="G104" s="97"/>
      <c r="H104" s="97"/>
      <c r="I104" s="97"/>
      <c r="J104" s="97"/>
      <c r="K104" s="97"/>
      <c r="M104" s="83" t="s">
        <v>121</v>
      </c>
      <c r="N104" s="83"/>
      <c r="O104" s="83"/>
      <c r="P104" s="83"/>
    </row>
    <row r="105" spans="3:16" s="1" customFormat="1" ht="46.5" customHeight="1">
      <c r="C105" s="84" t="s">
        <v>122</v>
      </c>
      <c r="D105" s="84"/>
      <c r="E105" s="84"/>
      <c r="F105" s="84"/>
      <c r="G105" s="84"/>
      <c r="H105" s="84"/>
      <c r="I105" s="84"/>
      <c r="J105" s="84"/>
      <c r="K105" s="84"/>
      <c r="L105" s="84"/>
      <c r="M105" s="84"/>
      <c r="N105" s="84"/>
      <c r="O105" s="84"/>
      <c r="P105" s="84"/>
    </row>
    <row r="106" spans="3:16" ht="30" customHeight="1">
      <c r="C106" s="98" t="s">
        <v>7</v>
      </c>
      <c r="D106" s="98"/>
      <c r="E106" s="99"/>
      <c r="F106" s="103" t="s">
        <v>123</v>
      </c>
      <c r="G106" s="103"/>
      <c r="H106" s="103"/>
      <c r="I106" s="103"/>
      <c r="J106" s="103"/>
      <c r="K106" s="103"/>
      <c r="M106" s="60" t="s">
        <v>11</v>
      </c>
      <c r="N106" s="59" t="s">
        <v>12</v>
      </c>
      <c r="O106" s="59" t="s">
        <v>13</v>
      </c>
      <c r="P106" s="76" t="s">
        <v>14</v>
      </c>
    </row>
    <row r="107" spans="3:16" ht="21" customHeight="1">
      <c r="C107" s="93" t="s">
        <v>124</v>
      </c>
      <c r="D107" s="93"/>
      <c r="E107" s="93"/>
      <c r="F107" s="103"/>
      <c r="G107" s="103"/>
      <c r="H107" s="103"/>
      <c r="I107" s="103"/>
      <c r="J107" s="103"/>
      <c r="K107" s="103"/>
      <c r="M107" s="71"/>
      <c r="N107" s="71"/>
      <c r="O107" s="51"/>
      <c r="P107" s="52"/>
    </row>
    <row r="108" spans="3:16" ht="21" customHeight="1">
      <c r="C108" s="93" t="s">
        <v>124</v>
      </c>
      <c r="D108" s="93"/>
      <c r="E108" s="93"/>
      <c r="F108" s="103"/>
      <c r="G108" s="103"/>
      <c r="H108" s="103"/>
      <c r="I108" s="103"/>
      <c r="J108" s="103"/>
      <c r="K108" s="103"/>
      <c r="M108" s="71"/>
      <c r="N108" s="71"/>
      <c r="O108" s="51"/>
      <c r="P108" s="52"/>
    </row>
    <row r="109" spans="3:16" ht="21" customHeight="1">
      <c r="C109" s="93" t="s">
        <v>124</v>
      </c>
      <c r="D109" s="93"/>
      <c r="E109" s="93"/>
      <c r="F109" s="103"/>
      <c r="G109" s="103"/>
      <c r="H109" s="103"/>
      <c r="I109" s="103"/>
      <c r="J109" s="103"/>
      <c r="K109" s="103"/>
      <c r="M109" s="71"/>
      <c r="N109" s="71"/>
      <c r="O109" s="51"/>
      <c r="P109" s="52"/>
    </row>
    <row r="110" spans="3:16" ht="21" customHeight="1">
      <c r="C110" s="97" t="s">
        <v>125</v>
      </c>
      <c r="D110" s="97"/>
      <c r="E110" s="97"/>
      <c r="F110" s="97"/>
      <c r="G110" s="97"/>
      <c r="H110" s="97"/>
      <c r="I110" s="97"/>
      <c r="J110" s="97"/>
      <c r="K110" s="97"/>
      <c r="M110" s="83" t="s">
        <v>125</v>
      </c>
      <c r="N110" s="83"/>
      <c r="O110" s="83"/>
      <c r="P110" s="83"/>
    </row>
    <row r="111" spans="3:16" s="1" customFormat="1" ht="33.75" customHeight="1">
      <c r="C111" s="84" t="s">
        <v>126</v>
      </c>
      <c r="D111" s="84"/>
      <c r="E111" s="84"/>
      <c r="F111" s="84"/>
      <c r="G111" s="84"/>
      <c r="H111" s="84"/>
      <c r="I111" s="84"/>
      <c r="J111" s="84"/>
      <c r="K111" s="84"/>
      <c r="L111" s="84"/>
      <c r="M111" s="84"/>
      <c r="N111" s="84"/>
      <c r="O111" s="84"/>
      <c r="P111" s="84"/>
    </row>
    <row r="112" spans="3:16" ht="30" customHeight="1">
      <c r="C112" s="98" t="s">
        <v>7</v>
      </c>
      <c r="D112" s="98"/>
      <c r="E112" s="99"/>
      <c r="F112" s="98" t="s">
        <v>127</v>
      </c>
      <c r="G112" s="98"/>
      <c r="H112" s="98"/>
      <c r="I112" s="98"/>
      <c r="J112" s="98"/>
      <c r="K112" s="98"/>
      <c r="M112" s="59" t="s">
        <v>11</v>
      </c>
      <c r="N112" s="59" t="s">
        <v>12</v>
      </c>
      <c r="O112" s="59" t="s">
        <v>13</v>
      </c>
      <c r="P112" s="76" t="s">
        <v>14</v>
      </c>
    </row>
    <row r="113" spans="3:16" ht="21" customHeight="1">
      <c r="C113" s="93" t="s">
        <v>128</v>
      </c>
      <c r="D113" s="93"/>
      <c r="E113" s="93"/>
      <c r="F113" s="100"/>
      <c r="G113" s="100"/>
      <c r="H113" s="100"/>
      <c r="I113" s="100"/>
      <c r="J113" s="100"/>
      <c r="K113" s="100"/>
      <c r="M113" s="71"/>
      <c r="N113" s="71"/>
      <c r="O113" s="51"/>
      <c r="P113" s="52"/>
    </row>
    <row r="114" spans="3:16" ht="21" customHeight="1">
      <c r="C114" s="93" t="s">
        <v>128</v>
      </c>
      <c r="D114" s="93"/>
      <c r="E114" s="93"/>
      <c r="F114" s="100"/>
      <c r="G114" s="100"/>
      <c r="H114" s="100"/>
      <c r="I114" s="100"/>
      <c r="J114" s="100"/>
      <c r="K114" s="100"/>
      <c r="M114" s="71"/>
      <c r="N114" s="71"/>
      <c r="O114" s="51"/>
      <c r="P114" s="52"/>
    </row>
    <row r="115" spans="3:16" ht="21" customHeight="1">
      <c r="C115" s="93" t="s">
        <v>128</v>
      </c>
      <c r="D115" s="93"/>
      <c r="E115" s="93"/>
      <c r="F115" s="100"/>
      <c r="G115" s="100"/>
      <c r="H115" s="100"/>
      <c r="I115" s="100"/>
      <c r="J115" s="100"/>
      <c r="K115" s="100"/>
      <c r="M115" s="71"/>
      <c r="N115" s="71"/>
      <c r="O115" s="51"/>
      <c r="P115" s="52"/>
    </row>
  </sheetData>
  <customSheetViews>
    <customSheetView guid="{7200144D-AE9B-4E11-8BC6-1D9089121434}" scale="60" showPageBreaks="1" printArea="1" hiddenColumns="1" view="pageBreakPreview" topLeftCell="B1">
      <selection activeCell="C3" sqref="C3:K3"/>
      <rowBreaks count="4" manualBreakCount="4">
        <brk id="23" max="16383" man="1"/>
        <brk id="39" max="16383" man="1"/>
        <brk id="78" max="11" man="1"/>
        <brk id="96" max="11" man="1"/>
      </rowBreaks>
      <colBreaks count="1" manualBreakCount="1">
        <brk id="12" max="114" man="1"/>
      </colBreaks>
      <pageMargins left="0" right="0" top="0" bottom="0" header="0" footer="0"/>
      <pageSetup scale="31" fitToHeight="0" orientation="portrait" r:id="rId1"/>
    </customSheetView>
    <customSheetView guid="{485925E6-5A0B-44C1-BB41-2DC25AF8CB64}" scale="60" showPageBreaks="1" printArea="1" hiddenColumns="1" view="pageBreakPreview" topLeftCell="B1">
      <selection activeCell="C3" sqref="C3:K3"/>
      <rowBreaks count="4" manualBreakCount="4">
        <brk id="23" max="16383" man="1"/>
        <brk id="39" max="16383" man="1"/>
        <brk id="78" min="12" max="20" man="1"/>
        <brk id="96" min="12" max="20" man="1"/>
      </rowBreaks>
      <colBreaks count="1" manualBreakCount="1">
        <brk id="12" max="114" man="1"/>
      </colBreaks>
      <pageMargins left="0" right="0" top="0" bottom="0" header="0" footer="0"/>
      <pageSetup scale="31" fitToHeight="0" orientation="portrait" r:id="rId2"/>
    </customSheetView>
    <customSheetView guid="{E7B40C15-71E1-4B18-97CD-B27D3BA93EEF}" scale="60" showPageBreaks="1" printArea="1" hiddenColumns="1" view="pageBreakPreview" topLeftCell="B1">
      <selection activeCell="C3" sqref="C3:K3"/>
      <rowBreaks count="4" manualBreakCount="4">
        <brk id="23" max="16383" man="1"/>
        <brk id="39" max="16383" man="1"/>
        <brk id="78" max="20" man="1"/>
        <brk id="96" max="20" man="1"/>
      </rowBreaks>
      <colBreaks count="1" manualBreakCount="1">
        <brk id="12" max="114" man="1"/>
      </colBreaks>
      <pageMargins left="0" right="0" top="0" bottom="0" header="0" footer="0"/>
      <pageSetup scale="31" fitToHeight="0" orientation="portrait" r:id="rId3"/>
    </customSheetView>
  </customSheetViews>
  <mergeCells count="140">
    <mergeCell ref="C111:P111"/>
    <mergeCell ref="C47:E47"/>
    <mergeCell ref="C39:E39"/>
    <mergeCell ref="C36:E36"/>
    <mergeCell ref="C37:E37"/>
    <mergeCell ref="C38:E38"/>
    <mergeCell ref="C80:K80"/>
    <mergeCell ref="C76:K76"/>
    <mergeCell ref="C64:K64"/>
    <mergeCell ref="C110:K110"/>
    <mergeCell ref="C104:K104"/>
    <mergeCell ref="C98:K98"/>
    <mergeCell ref="C93:K93"/>
    <mergeCell ref="C88:K88"/>
    <mergeCell ref="C86:K86"/>
    <mergeCell ref="C94:E94"/>
    <mergeCell ref="F94:K97"/>
    <mergeCell ref="C95:E95"/>
    <mergeCell ref="C96:E96"/>
    <mergeCell ref="C97:E97"/>
    <mergeCell ref="C89:E89"/>
    <mergeCell ref="F89:K92"/>
    <mergeCell ref="C50:E50"/>
    <mergeCell ref="C51:E51"/>
    <mergeCell ref="C1:K1"/>
    <mergeCell ref="C6:E6"/>
    <mergeCell ref="C8:E8"/>
    <mergeCell ref="C9:E9"/>
    <mergeCell ref="C7:E7"/>
    <mergeCell ref="C11:E11"/>
    <mergeCell ref="C12:K12"/>
    <mergeCell ref="C10:K10"/>
    <mergeCell ref="C5:K5"/>
    <mergeCell ref="C4:K4"/>
    <mergeCell ref="C3:K3"/>
    <mergeCell ref="C52:E52"/>
    <mergeCell ref="C32:E32"/>
    <mergeCell ref="C54:K54"/>
    <mergeCell ref="C43:K43"/>
    <mergeCell ref="C41:K41"/>
    <mergeCell ref="C42:K42"/>
    <mergeCell ref="C13:E13"/>
    <mergeCell ref="C27:E27"/>
    <mergeCell ref="C14:E14"/>
    <mergeCell ref="C15:E15"/>
    <mergeCell ref="C18:E18"/>
    <mergeCell ref="C21:E21"/>
    <mergeCell ref="C23:E23"/>
    <mergeCell ref="J23:K23"/>
    <mergeCell ref="C24:E24"/>
    <mergeCell ref="C84:E84"/>
    <mergeCell ref="C85:E85"/>
    <mergeCell ref="G67:H67"/>
    <mergeCell ref="G68:H68"/>
    <mergeCell ref="C22:E22"/>
    <mergeCell ref="C16:E16"/>
    <mergeCell ref="C17:E17"/>
    <mergeCell ref="C25:K25"/>
    <mergeCell ref="C19:K19"/>
    <mergeCell ref="C20:K20"/>
    <mergeCell ref="C26:K26"/>
    <mergeCell ref="C55:E55"/>
    <mergeCell ref="J57:K57"/>
    <mergeCell ref="C56:E56"/>
    <mergeCell ref="C57:E57"/>
    <mergeCell ref="C28:E28"/>
    <mergeCell ref="C29:E29"/>
    <mergeCell ref="C30:E30"/>
    <mergeCell ref="C31:E31"/>
    <mergeCell ref="C53:E53"/>
    <mergeCell ref="C40:E40"/>
    <mergeCell ref="C44:E44"/>
    <mergeCell ref="J47:K47"/>
    <mergeCell ref="C49:E49"/>
    <mergeCell ref="C61:E61"/>
    <mergeCell ref="C62:E62"/>
    <mergeCell ref="C63:E63"/>
    <mergeCell ref="D71:E71"/>
    <mergeCell ref="D72:E72"/>
    <mergeCell ref="D73:E73"/>
    <mergeCell ref="C65:G65"/>
    <mergeCell ref="G66:H66"/>
    <mergeCell ref="C83:E83"/>
    <mergeCell ref="C112:E112"/>
    <mergeCell ref="C113:E113"/>
    <mergeCell ref="C114:E114"/>
    <mergeCell ref="C115:E115"/>
    <mergeCell ref="F112:K112"/>
    <mergeCell ref="F113:K113"/>
    <mergeCell ref="F114:K114"/>
    <mergeCell ref="F115:K115"/>
    <mergeCell ref="G69:H69"/>
    <mergeCell ref="C106:E106"/>
    <mergeCell ref="F106:K109"/>
    <mergeCell ref="C107:E107"/>
    <mergeCell ref="C108:E108"/>
    <mergeCell ref="C109:E109"/>
    <mergeCell ref="C90:E90"/>
    <mergeCell ref="C91:E91"/>
    <mergeCell ref="C92:E92"/>
    <mergeCell ref="C100:E100"/>
    <mergeCell ref="F100:K103"/>
    <mergeCell ref="C101:E101"/>
    <mergeCell ref="C102:E102"/>
    <mergeCell ref="C103:E103"/>
    <mergeCell ref="C82:E82"/>
    <mergeCell ref="F82:K85"/>
    <mergeCell ref="M5:P5"/>
    <mergeCell ref="M4:P4"/>
    <mergeCell ref="M20:P20"/>
    <mergeCell ref="M26:P26"/>
    <mergeCell ref="M42:P42"/>
    <mergeCell ref="M80:P80"/>
    <mergeCell ref="M86:P86"/>
    <mergeCell ref="M88:P88"/>
    <mergeCell ref="M3:P3"/>
    <mergeCell ref="M104:P104"/>
    <mergeCell ref="M110:P110"/>
    <mergeCell ref="C87:P87"/>
    <mergeCell ref="C99:P99"/>
    <mergeCell ref="C105:P105"/>
    <mergeCell ref="M93:P93"/>
    <mergeCell ref="M98:P98"/>
    <mergeCell ref="M10:P10"/>
    <mergeCell ref="M12:P12"/>
    <mergeCell ref="M19:P19"/>
    <mergeCell ref="M25:P25"/>
    <mergeCell ref="M41:P41"/>
    <mergeCell ref="M43:P43"/>
    <mergeCell ref="M54:P54"/>
    <mergeCell ref="C81:P81"/>
    <mergeCell ref="C33:E33"/>
    <mergeCell ref="C34:E34"/>
    <mergeCell ref="C35:E35"/>
    <mergeCell ref="C48:E48"/>
    <mergeCell ref="C45:E45"/>
    <mergeCell ref="C46:E46"/>
    <mergeCell ref="C58:E58"/>
    <mergeCell ref="C59:E59"/>
    <mergeCell ref="C60:E60"/>
  </mergeCells>
  <conditionalFormatting sqref="M7:O9 M56:O63">
    <cfRule type="cellIs" dxfId="107" priority="37" operator="equal">
      <formula>"N/A"</formula>
    </cfRule>
    <cfRule type="cellIs" dxfId="106" priority="38" operator="equal">
      <formula>"Yes"</formula>
    </cfRule>
    <cfRule type="cellIs" dxfId="105" priority="39" operator="equal">
      <formula>"No"</formula>
    </cfRule>
  </conditionalFormatting>
  <conditionalFormatting sqref="M11:O11">
    <cfRule type="cellIs" dxfId="104" priority="34" operator="equal">
      <formula>"N/A"</formula>
    </cfRule>
    <cfRule type="cellIs" dxfId="103" priority="35" operator="equal">
      <formula>"Yes"</formula>
    </cfRule>
    <cfRule type="cellIs" dxfId="102" priority="36" operator="equal">
      <formula>"No"</formula>
    </cfRule>
  </conditionalFormatting>
  <conditionalFormatting sqref="M13:O18">
    <cfRule type="cellIs" dxfId="101" priority="31" operator="equal">
      <formula>"N/A"</formula>
    </cfRule>
    <cfRule type="cellIs" dxfId="100" priority="32" operator="equal">
      <formula>"Yes"</formula>
    </cfRule>
    <cfRule type="cellIs" dxfId="99" priority="33" operator="equal">
      <formula>"No"</formula>
    </cfRule>
  </conditionalFormatting>
  <conditionalFormatting sqref="M22:O24">
    <cfRule type="cellIs" dxfId="98" priority="28" operator="equal">
      <formula>"N/A"</formula>
    </cfRule>
    <cfRule type="cellIs" dxfId="97" priority="29" operator="equal">
      <formula>"Yes"</formula>
    </cfRule>
    <cfRule type="cellIs" dxfId="96" priority="30" operator="equal">
      <formula>"No"</formula>
    </cfRule>
  </conditionalFormatting>
  <conditionalFormatting sqref="M28:O40">
    <cfRule type="cellIs" dxfId="95" priority="25" operator="equal">
      <formula>"N/A"</formula>
    </cfRule>
    <cfRule type="cellIs" dxfId="94" priority="26" operator="equal">
      <formula>"Yes"</formula>
    </cfRule>
    <cfRule type="cellIs" dxfId="93" priority="27" operator="equal">
      <formula>"No"</formula>
    </cfRule>
  </conditionalFormatting>
  <conditionalFormatting sqref="M45:O53">
    <cfRule type="cellIs" dxfId="92" priority="22" operator="equal">
      <formula>"N/A"</formula>
    </cfRule>
    <cfRule type="cellIs" dxfId="91" priority="23" operator="equal">
      <formula>"Yes"</formula>
    </cfRule>
    <cfRule type="cellIs" dxfId="90" priority="24" operator="equal">
      <formula>"No"</formula>
    </cfRule>
  </conditionalFormatting>
  <conditionalFormatting sqref="M83:O85">
    <cfRule type="cellIs" dxfId="89" priority="16" operator="equal">
      <formula>"N/A"</formula>
    </cfRule>
    <cfRule type="cellIs" dxfId="88" priority="17" operator="equal">
      <formula>"Yes"</formula>
    </cfRule>
    <cfRule type="cellIs" dxfId="87" priority="18" operator="equal">
      <formula>"No"</formula>
    </cfRule>
  </conditionalFormatting>
  <conditionalFormatting sqref="M90:O92">
    <cfRule type="cellIs" dxfId="86" priority="13" operator="equal">
      <formula>"N/A"</formula>
    </cfRule>
    <cfRule type="cellIs" dxfId="85" priority="14" operator="equal">
      <formula>"Yes"</formula>
    </cfRule>
    <cfRule type="cellIs" dxfId="84" priority="15" operator="equal">
      <formula>"No"</formula>
    </cfRule>
  </conditionalFormatting>
  <conditionalFormatting sqref="M95:O97">
    <cfRule type="cellIs" dxfId="83" priority="10" operator="equal">
      <formula>"N/A"</formula>
    </cfRule>
    <cfRule type="cellIs" dxfId="82" priority="11" operator="equal">
      <formula>"Yes"</formula>
    </cfRule>
    <cfRule type="cellIs" dxfId="81" priority="12" operator="equal">
      <formula>"No"</formula>
    </cfRule>
  </conditionalFormatting>
  <conditionalFormatting sqref="M101:O103">
    <cfRule type="cellIs" dxfId="80" priority="7" operator="equal">
      <formula>"N/A"</formula>
    </cfRule>
    <cfRule type="cellIs" dxfId="79" priority="8" operator="equal">
      <formula>"Yes"</formula>
    </cfRule>
    <cfRule type="cellIs" dxfId="78" priority="9" operator="equal">
      <formula>"No"</formula>
    </cfRule>
  </conditionalFormatting>
  <conditionalFormatting sqref="M107:O109">
    <cfRule type="cellIs" dxfId="77" priority="4" operator="equal">
      <formula>"N/A"</formula>
    </cfRule>
    <cfRule type="cellIs" dxfId="76" priority="5" operator="equal">
      <formula>"Yes"</formula>
    </cfRule>
    <cfRule type="cellIs" dxfId="75" priority="6" operator="equal">
      <formula>"No"</formula>
    </cfRule>
  </conditionalFormatting>
  <conditionalFormatting sqref="M113:O115">
    <cfRule type="cellIs" dxfId="74" priority="1" operator="equal">
      <formula>"N/A"</formula>
    </cfRule>
    <cfRule type="cellIs" dxfId="73" priority="2" operator="equal">
      <formula>"Yes"</formula>
    </cfRule>
    <cfRule type="cellIs" dxfId="72" priority="3" operator="equal">
      <formula>"No"</formula>
    </cfRule>
  </conditionalFormatting>
  <dataValidations count="1">
    <dataValidation type="list" allowBlank="1" showErrorMessage="1" sqref="M7:O9 M11:O11 M13:O18 M22:O24 M28:O40 M56:O63 M83:O85 M90:O92 M95:O97 M101:O103 M107:O109 M113:O115 M45:O53" xr:uid="{0E5D94DE-D0B6-4E94-9CBC-A05CA8CA3227}">
      <formula1>"Yes,No,N/A"</formula1>
    </dataValidation>
  </dataValidations>
  <pageMargins left="0.7" right="0.7" top="0.75" bottom="0.75" header="0.3" footer="0.3"/>
  <pageSetup paperSize="3" scale="65" fitToHeight="0" orientation="landscape" r:id="rId4"/>
  <rowBreaks count="4" manualBreakCount="4">
    <brk id="24" max="15" man="1"/>
    <brk id="40" max="15" man="1"/>
    <brk id="79" max="20" man="1"/>
    <brk id="103" max="1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F9836-F5CB-4140-8C23-7EAAEDD1223C}">
  <sheetPr codeName="Sheet3">
    <pageSetUpPr fitToPage="1"/>
  </sheetPr>
  <dimension ref="A1:P115"/>
  <sheetViews>
    <sheetView showGridLines="0" topLeftCell="B42" zoomScale="80" zoomScaleNormal="80" zoomScaleSheetLayoutView="70" zoomScalePageLayoutView="70" workbookViewId="0">
      <selection activeCell="C45" sqref="C45:H47"/>
      <extLst>
        <ext xmlns:xlsdti="http://schemas.microsoft.com/office/spreadsheetml/2023/showDataTypeIcons" uri="{77bfe23e-c014-4d31-8a63-9c772dbf06b6}">
          <xlsdti:showDataTypeIcons visible="0"/>
        </ext>
      </extLst>
    </sheetView>
  </sheetViews>
  <sheetFormatPr defaultColWidth="8.85546875" defaultRowHeight="15"/>
  <cols>
    <col min="1" max="1" width="8.85546875" style="2" hidden="1" customWidth="1"/>
    <col min="2" max="2" width="3" style="2" customWidth="1"/>
    <col min="3" max="3" width="26.42578125" style="2" bestFit="1" customWidth="1"/>
    <col min="4" max="4" width="5.5703125" style="2" customWidth="1"/>
    <col min="5" max="5" width="9.140625" style="2" customWidth="1"/>
    <col min="6" max="6" width="16.7109375" style="2" bestFit="1" customWidth="1"/>
    <col min="7" max="7" width="17.140625" style="2" customWidth="1"/>
    <col min="8" max="8" width="15.7109375" style="2" customWidth="1"/>
    <col min="9" max="9" width="21.5703125" style="2" bestFit="1" customWidth="1"/>
    <col min="10" max="10" width="21.7109375" style="2" bestFit="1" customWidth="1"/>
    <col min="11" max="11" width="15.7109375" style="2" customWidth="1"/>
    <col min="12" max="12" width="3.28515625" style="2" customWidth="1"/>
    <col min="13" max="13" width="15.7109375" style="2" bestFit="1" customWidth="1"/>
    <col min="14" max="14" width="21.42578125" style="2" bestFit="1" customWidth="1"/>
    <col min="15" max="15" width="26.140625" style="2" customWidth="1"/>
    <col min="16" max="16" width="84" style="2" customWidth="1"/>
    <col min="17" max="16384" width="8.85546875" style="2"/>
  </cols>
  <sheetData>
    <row r="1" spans="3:16" ht="21" customHeight="1">
      <c r="C1" s="99" t="s">
        <v>0</v>
      </c>
      <c r="D1" s="99"/>
      <c r="E1" s="99"/>
      <c r="F1" s="99"/>
      <c r="G1" s="99"/>
      <c r="H1" s="99"/>
      <c r="I1" s="99"/>
      <c r="J1" s="99"/>
      <c r="K1" s="99"/>
      <c r="M1" s="5"/>
      <c r="N1" s="6" t="s">
        <v>1</v>
      </c>
      <c r="O1" s="7"/>
      <c r="P1" s="7"/>
    </row>
    <row r="2" spans="3:16" ht="21" customHeight="1">
      <c r="C2" s="1"/>
      <c r="D2" s="1"/>
      <c r="E2" s="1"/>
      <c r="F2" s="1"/>
      <c r="G2" s="1"/>
      <c r="H2" s="1"/>
      <c r="I2" s="1"/>
      <c r="J2" s="1"/>
      <c r="K2" s="1"/>
      <c r="M2" s="12"/>
      <c r="N2" s="6" t="s">
        <v>2</v>
      </c>
      <c r="O2" s="7"/>
      <c r="P2" s="7"/>
    </row>
    <row r="3" spans="3:16" s="1" customFormat="1" ht="21" customHeight="1">
      <c r="C3" s="97" t="s">
        <v>3</v>
      </c>
      <c r="D3" s="97"/>
      <c r="E3" s="97"/>
      <c r="F3" s="97"/>
      <c r="G3" s="97"/>
      <c r="H3" s="97"/>
      <c r="I3" s="97"/>
      <c r="J3" s="97"/>
      <c r="K3" s="97"/>
      <c r="M3" s="97" t="s">
        <v>3</v>
      </c>
      <c r="N3" s="97"/>
      <c r="O3" s="97"/>
      <c r="P3" s="97"/>
    </row>
    <row r="4" spans="3:16" s="1" customFormat="1" ht="300.75" customHeight="1">
      <c r="C4" s="89" t="s">
        <v>4</v>
      </c>
      <c r="D4" s="89"/>
      <c r="E4" s="89"/>
      <c r="F4" s="89"/>
      <c r="G4" s="89"/>
      <c r="H4" s="89"/>
      <c r="I4" s="89"/>
      <c r="J4" s="89"/>
      <c r="K4" s="89"/>
      <c r="M4" s="89" t="s">
        <v>5</v>
      </c>
      <c r="N4" s="89"/>
      <c r="O4" s="89"/>
      <c r="P4" s="89"/>
    </row>
    <row r="5" spans="3:16" s="1" customFormat="1" ht="21" customHeight="1">
      <c r="C5" s="97" t="s">
        <v>6</v>
      </c>
      <c r="D5" s="97"/>
      <c r="E5" s="97"/>
      <c r="F5" s="97"/>
      <c r="G5" s="97"/>
      <c r="H5" s="97"/>
      <c r="I5" s="97"/>
      <c r="J5" s="97"/>
      <c r="K5" s="97"/>
      <c r="M5" s="88" t="s">
        <v>6</v>
      </c>
      <c r="N5" s="88"/>
      <c r="O5" s="88"/>
      <c r="P5" s="88"/>
    </row>
    <row r="6" spans="3:16" ht="30">
      <c r="C6" s="98" t="s">
        <v>7</v>
      </c>
      <c r="D6" s="98"/>
      <c r="E6" s="99"/>
      <c r="F6" s="4" t="s">
        <v>8</v>
      </c>
      <c r="G6" s="4" t="s">
        <v>9</v>
      </c>
      <c r="H6" s="4" t="s">
        <v>10</v>
      </c>
      <c r="M6" s="59" t="s">
        <v>11</v>
      </c>
      <c r="N6" s="59" t="s">
        <v>12</v>
      </c>
      <c r="O6" s="59" t="s">
        <v>13</v>
      </c>
      <c r="P6" s="76" t="s">
        <v>14</v>
      </c>
    </row>
    <row r="7" spans="3:16" ht="21" customHeight="1">
      <c r="C7" s="110" t="s">
        <v>15</v>
      </c>
      <c r="D7" s="111"/>
      <c r="E7" s="112"/>
      <c r="F7" s="8">
        <v>3.15</v>
      </c>
      <c r="G7" s="9">
        <f>H7/(F7*62.4)</f>
        <v>1.2871387871387872</v>
      </c>
      <c r="H7" s="10">
        <v>253</v>
      </c>
      <c r="I7" s="11" t="s">
        <v>16</v>
      </c>
      <c r="J7" s="5">
        <f>H7</f>
        <v>253</v>
      </c>
      <c r="K7" s="2" t="s">
        <v>17</v>
      </c>
      <c r="M7" s="68" t="s">
        <v>44</v>
      </c>
      <c r="N7" s="69"/>
      <c r="O7" s="61"/>
      <c r="P7" s="62"/>
    </row>
    <row r="8" spans="3:16" ht="21" customHeight="1">
      <c r="C8" s="110" t="s">
        <v>18</v>
      </c>
      <c r="D8" s="111"/>
      <c r="E8" s="112"/>
      <c r="F8" s="8"/>
      <c r="G8" s="9"/>
      <c r="H8" s="10"/>
      <c r="M8" s="70"/>
      <c r="N8" s="71"/>
      <c r="O8" s="51"/>
      <c r="P8" s="63"/>
    </row>
    <row r="9" spans="3:16" ht="21" customHeight="1">
      <c r="C9" s="110" t="s">
        <v>18</v>
      </c>
      <c r="D9" s="111"/>
      <c r="E9" s="112"/>
      <c r="F9" s="8"/>
      <c r="G9" s="9"/>
      <c r="H9" s="10"/>
      <c r="M9" s="72"/>
      <c r="N9" s="73"/>
      <c r="O9" s="64"/>
      <c r="P9" s="65"/>
    </row>
    <row r="10" spans="3:16" ht="21" customHeight="1">
      <c r="C10" s="97" t="s">
        <v>19</v>
      </c>
      <c r="D10" s="97"/>
      <c r="E10" s="97"/>
      <c r="F10" s="97"/>
      <c r="G10" s="97"/>
      <c r="H10" s="97"/>
      <c r="I10" s="97"/>
      <c r="J10" s="97"/>
      <c r="K10" s="97"/>
      <c r="M10" s="86" t="s">
        <v>19</v>
      </c>
      <c r="N10" s="86"/>
      <c r="O10" s="86"/>
      <c r="P10" s="86"/>
    </row>
    <row r="11" spans="3:16" ht="21" customHeight="1">
      <c r="C11" s="90" t="s">
        <v>20</v>
      </c>
      <c r="D11" s="91"/>
      <c r="E11" s="92"/>
      <c r="F11" s="8"/>
      <c r="G11" s="9"/>
      <c r="H11" s="10"/>
      <c r="I11" s="11"/>
      <c r="J11" s="13"/>
      <c r="M11" s="74"/>
      <c r="N11" s="75"/>
      <c r="O11" s="66"/>
      <c r="P11" s="67"/>
    </row>
    <row r="12" spans="3:16" ht="21" customHeight="1">
      <c r="C12" s="97" t="s">
        <v>21</v>
      </c>
      <c r="D12" s="97"/>
      <c r="E12" s="97"/>
      <c r="F12" s="97"/>
      <c r="G12" s="97"/>
      <c r="H12" s="97"/>
      <c r="I12" s="97"/>
      <c r="J12" s="97"/>
      <c r="K12" s="97"/>
      <c r="M12" s="86" t="s">
        <v>21</v>
      </c>
      <c r="N12" s="86"/>
      <c r="O12" s="86"/>
      <c r="P12" s="86"/>
    </row>
    <row r="13" spans="3:16" ht="21" customHeight="1">
      <c r="C13" s="110" t="s">
        <v>22</v>
      </c>
      <c r="D13" s="111"/>
      <c r="E13" s="112"/>
      <c r="F13" s="8">
        <v>2.3199999999999998</v>
      </c>
      <c r="G13" s="9">
        <f>H13/(F13*62.4)</f>
        <v>2.3485853227232538</v>
      </c>
      <c r="H13" s="10">
        <v>340</v>
      </c>
      <c r="I13" s="11" t="s">
        <v>23</v>
      </c>
      <c r="J13" s="5">
        <f>SUM(H13:H18)</f>
        <v>640</v>
      </c>
      <c r="K13" s="2" t="s">
        <v>17</v>
      </c>
      <c r="M13" s="68" t="s">
        <v>44</v>
      </c>
      <c r="N13" s="69"/>
      <c r="O13" s="61"/>
      <c r="P13" s="62"/>
    </row>
    <row r="14" spans="3:16" ht="21" customHeight="1">
      <c r="C14" s="110" t="s">
        <v>24</v>
      </c>
      <c r="D14" s="111"/>
      <c r="E14" s="112"/>
      <c r="F14" s="8">
        <v>3</v>
      </c>
      <c r="G14" s="9">
        <f>H14/(F14*62.4)</f>
        <v>1.6025641025641026</v>
      </c>
      <c r="H14" s="10">
        <v>300</v>
      </c>
      <c r="I14" s="11" t="s">
        <v>25</v>
      </c>
      <c r="J14" s="5">
        <f>J7/J13</f>
        <v>0.39531250000000001</v>
      </c>
      <c r="M14" s="70" t="s">
        <v>44</v>
      </c>
      <c r="N14" s="71"/>
      <c r="O14" s="51"/>
      <c r="P14" s="63"/>
    </row>
    <row r="15" spans="3:16" ht="21" customHeight="1">
      <c r="C15" s="110" t="s">
        <v>21</v>
      </c>
      <c r="D15" s="111"/>
      <c r="E15" s="112"/>
      <c r="F15" s="8"/>
      <c r="G15" s="9"/>
      <c r="H15" s="10"/>
      <c r="I15" s="11" t="s">
        <v>26</v>
      </c>
      <c r="J15" s="5">
        <f>H11/SUM(H13:H18)</f>
        <v>0</v>
      </c>
      <c r="M15" s="70"/>
      <c r="N15" s="71"/>
      <c r="O15" s="51"/>
      <c r="P15" s="63"/>
    </row>
    <row r="16" spans="3:16" ht="21" customHeight="1">
      <c r="C16" s="110" t="s">
        <v>21</v>
      </c>
      <c r="D16" s="111"/>
      <c r="E16" s="112"/>
      <c r="F16" s="8"/>
      <c r="G16" s="9"/>
      <c r="H16" s="10"/>
      <c r="J16" s="13"/>
      <c r="M16" s="70"/>
      <c r="N16" s="71"/>
      <c r="O16" s="51"/>
      <c r="P16" s="63"/>
    </row>
    <row r="17" spans="1:16" ht="21" customHeight="1">
      <c r="C17" s="110" t="s">
        <v>21</v>
      </c>
      <c r="D17" s="111"/>
      <c r="E17" s="112"/>
      <c r="F17" s="8"/>
      <c r="G17" s="9"/>
      <c r="H17" s="10"/>
      <c r="I17" s="11" t="s">
        <v>27</v>
      </c>
      <c r="J17" s="5">
        <f>J13/100</f>
        <v>6.4</v>
      </c>
      <c r="M17" s="70"/>
      <c r="N17" s="71"/>
      <c r="O17" s="51"/>
      <c r="P17" s="63"/>
    </row>
    <row r="18" spans="1:16" ht="21" customHeight="1">
      <c r="C18" s="90" t="s">
        <v>21</v>
      </c>
      <c r="D18" s="91"/>
      <c r="E18" s="92"/>
      <c r="F18" s="8"/>
      <c r="G18" s="9"/>
      <c r="H18" s="10"/>
      <c r="M18" s="72"/>
      <c r="N18" s="73"/>
      <c r="O18" s="64"/>
      <c r="P18" s="65"/>
    </row>
    <row r="19" spans="1:16" s="1" customFormat="1" ht="21" customHeight="1">
      <c r="C19" s="97" t="s">
        <v>28</v>
      </c>
      <c r="D19" s="97"/>
      <c r="E19" s="97"/>
      <c r="F19" s="97"/>
      <c r="G19" s="97"/>
      <c r="H19" s="97"/>
      <c r="I19" s="97"/>
      <c r="J19" s="97"/>
      <c r="K19" s="97"/>
      <c r="M19" s="87" t="s">
        <v>28</v>
      </c>
      <c r="N19" s="87"/>
      <c r="O19" s="87"/>
      <c r="P19" s="87"/>
    </row>
    <row r="20" spans="1:16" s="1" customFormat="1" ht="60.75" customHeight="1">
      <c r="C20" s="89" t="s">
        <v>29</v>
      </c>
      <c r="D20" s="89"/>
      <c r="E20" s="89"/>
      <c r="F20" s="89"/>
      <c r="G20" s="89"/>
      <c r="H20" s="89"/>
      <c r="I20" s="89"/>
      <c r="J20" s="89"/>
      <c r="K20" s="89"/>
      <c r="M20" s="94" t="s">
        <v>30</v>
      </c>
      <c r="N20" s="94"/>
      <c r="O20" s="94"/>
      <c r="P20" s="94"/>
    </row>
    <row r="21" spans="1:16" ht="30" customHeight="1">
      <c r="C21" s="98" t="s">
        <v>7</v>
      </c>
      <c r="D21" s="98"/>
      <c r="E21" s="99"/>
      <c r="F21" s="14" t="s">
        <v>8</v>
      </c>
      <c r="G21" s="14" t="s">
        <v>9</v>
      </c>
      <c r="H21" s="14" t="s">
        <v>31</v>
      </c>
      <c r="M21" s="59" t="s">
        <v>11</v>
      </c>
      <c r="N21" s="59" t="s">
        <v>12</v>
      </c>
      <c r="O21" s="59" t="s">
        <v>13</v>
      </c>
      <c r="P21" s="76" t="s">
        <v>14</v>
      </c>
    </row>
    <row r="22" spans="1:16" ht="21" customHeight="1">
      <c r="C22" s="110" t="s">
        <v>32</v>
      </c>
      <c r="D22" s="111"/>
      <c r="E22" s="112"/>
      <c r="F22" s="15">
        <v>0.91</v>
      </c>
      <c r="G22" s="16">
        <f>H22/(F22*62.4)</f>
        <v>0.1232741617357002</v>
      </c>
      <c r="H22" s="15">
        <v>7</v>
      </c>
      <c r="M22" s="71"/>
      <c r="N22" s="71"/>
      <c r="O22" s="51"/>
      <c r="P22" s="52"/>
    </row>
    <row r="23" spans="1:16" ht="21" customHeight="1">
      <c r="C23" s="110" t="s">
        <v>33</v>
      </c>
      <c r="D23" s="111"/>
      <c r="E23" s="112"/>
      <c r="F23" s="8"/>
      <c r="G23" s="9"/>
      <c r="H23" s="8"/>
      <c r="J23" s="98" t="s">
        <v>34</v>
      </c>
      <c r="K23" s="106"/>
      <c r="M23" s="71"/>
      <c r="N23" s="71"/>
      <c r="O23" s="51"/>
      <c r="P23" s="52"/>
    </row>
    <row r="24" spans="1:16" ht="21" customHeight="1">
      <c r="C24" s="110" t="s">
        <v>33</v>
      </c>
      <c r="D24" s="111"/>
      <c r="E24" s="112"/>
      <c r="F24" s="8"/>
      <c r="G24" s="9"/>
      <c r="H24" s="8"/>
      <c r="J24" s="9">
        <f>SUM(H22:H24)</f>
        <v>7</v>
      </c>
      <c r="K24" s="2" t="s">
        <v>17</v>
      </c>
      <c r="M24" s="71"/>
      <c r="N24" s="71"/>
      <c r="O24" s="51"/>
      <c r="P24" s="52"/>
    </row>
    <row r="25" spans="1:16" s="1" customFormat="1" ht="21" customHeight="1">
      <c r="C25" s="97" t="s">
        <v>35</v>
      </c>
      <c r="D25" s="97"/>
      <c r="E25" s="97"/>
      <c r="F25" s="97"/>
      <c r="G25" s="97"/>
      <c r="H25" s="97"/>
      <c r="I25" s="97"/>
      <c r="J25" s="97"/>
      <c r="K25" s="97"/>
      <c r="M25" s="83" t="s">
        <v>35</v>
      </c>
      <c r="N25" s="83"/>
      <c r="O25" s="83"/>
      <c r="P25" s="83"/>
    </row>
    <row r="26" spans="1:16" s="1" customFormat="1" ht="122.25" customHeight="1">
      <c r="C26" s="89" t="s">
        <v>36</v>
      </c>
      <c r="D26" s="89"/>
      <c r="E26" s="89"/>
      <c r="F26" s="89"/>
      <c r="G26" s="89"/>
      <c r="H26" s="89"/>
      <c r="I26" s="89"/>
      <c r="J26" s="89"/>
      <c r="K26" s="89"/>
      <c r="M26" s="95" t="s">
        <v>37</v>
      </c>
      <c r="N26" s="95"/>
      <c r="O26" s="95"/>
      <c r="P26" s="95"/>
    </row>
    <row r="27" spans="1:16" ht="30" customHeight="1">
      <c r="C27" s="98" t="s">
        <v>38</v>
      </c>
      <c r="D27" s="98"/>
      <c r="E27" s="109"/>
      <c r="F27" s="14" t="s">
        <v>39</v>
      </c>
      <c r="G27" s="14" t="s">
        <v>40</v>
      </c>
      <c r="H27" s="14" t="s">
        <v>41</v>
      </c>
      <c r="I27" s="14" t="s">
        <v>42</v>
      </c>
      <c r="J27" s="14" t="s">
        <v>43</v>
      </c>
      <c r="K27" s="4" t="s">
        <v>9</v>
      </c>
      <c r="L27" s="4"/>
      <c r="M27" s="59" t="s">
        <v>11</v>
      </c>
      <c r="N27" s="59" t="s">
        <v>12</v>
      </c>
      <c r="O27" s="59" t="s">
        <v>13</v>
      </c>
      <c r="P27" s="76" t="s">
        <v>14</v>
      </c>
    </row>
    <row r="28" spans="1:16" ht="21" customHeight="1">
      <c r="A28" s="2" t="s">
        <v>44</v>
      </c>
      <c r="C28" s="90" t="s">
        <v>129</v>
      </c>
      <c r="D28" s="91"/>
      <c r="E28" s="92"/>
      <c r="F28" s="17">
        <v>32</v>
      </c>
      <c r="G28" s="18">
        <v>1.6359999999999999</v>
      </c>
      <c r="H28" s="16">
        <f>G28*(F28/100)+G28</f>
        <v>2.1595199999999997</v>
      </c>
      <c r="I28" s="15">
        <v>260</v>
      </c>
      <c r="J28" s="16">
        <f>(I28*(F28/100))+I28</f>
        <v>343.2</v>
      </c>
      <c r="K28" s="16">
        <f>(I28/(G28*62.4))</f>
        <v>2.5468622656886715</v>
      </c>
      <c r="L28" s="19"/>
      <c r="M28" s="71"/>
      <c r="N28" s="71"/>
      <c r="O28" s="51"/>
      <c r="P28" s="52"/>
    </row>
    <row r="29" spans="1:16" ht="21" customHeight="1">
      <c r="A29" s="2" t="s">
        <v>46</v>
      </c>
      <c r="C29" s="90" t="s">
        <v>130</v>
      </c>
      <c r="D29" s="91"/>
      <c r="E29" s="92"/>
      <c r="F29" s="17">
        <v>25</v>
      </c>
      <c r="G29" s="18">
        <v>0.5</v>
      </c>
      <c r="H29" s="16">
        <f>G29*(F29/100)+G29</f>
        <v>0.625</v>
      </c>
      <c r="I29" s="15">
        <v>100</v>
      </c>
      <c r="J29" s="16">
        <f t="shared" ref="J29:J30" si="0">(I29*(F29/100))+I29</f>
        <v>125</v>
      </c>
      <c r="K29" s="16">
        <f t="shared" ref="K29:K30" si="1">(I29/(G29*62.4))</f>
        <v>3.2051282051282053</v>
      </c>
      <c r="L29" s="19"/>
      <c r="M29" s="71"/>
      <c r="N29" s="71"/>
      <c r="O29" s="51"/>
      <c r="P29" s="52"/>
    </row>
    <row r="30" spans="1:16" ht="21" customHeight="1">
      <c r="C30" s="90" t="s">
        <v>48</v>
      </c>
      <c r="D30" s="91"/>
      <c r="E30" s="92"/>
      <c r="F30" s="17">
        <v>12</v>
      </c>
      <c r="G30" s="18">
        <f>18.5/62.4</f>
        <v>0.29647435897435898</v>
      </c>
      <c r="H30" s="16">
        <f t="shared" ref="H30" si="2">G30*(F30/100)+G30</f>
        <v>0.33205128205128204</v>
      </c>
      <c r="I30" s="15">
        <v>200</v>
      </c>
      <c r="J30" s="16">
        <f t="shared" si="0"/>
        <v>224</v>
      </c>
      <c r="K30" s="16">
        <f t="shared" si="1"/>
        <v>10.810810810810811</v>
      </c>
      <c r="L30" s="19"/>
      <c r="M30" s="71" t="s">
        <v>44</v>
      </c>
      <c r="N30" s="71"/>
      <c r="O30" s="51"/>
      <c r="P30" s="52"/>
    </row>
    <row r="31" spans="1:16" ht="21" customHeight="1">
      <c r="C31" s="90" t="s">
        <v>49</v>
      </c>
      <c r="D31" s="91"/>
      <c r="E31" s="92"/>
      <c r="F31" s="17">
        <v>0</v>
      </c>
      <c r="G31" s="18">
        <v>0.08</v>
      </c>
      <c r="H31" s="16">
        <f>G31*(F31/100)+G31</f>
        <v>0.08</v>
      </c>
      <c r="I31" s="15">
        <v>10</v>
      </c>
      <c r="J31" s="16">
        <f>(I31*(F31/100))+I31</f>
        <v>10</v>
      </c>
      <c r="K31" s="16">
        <f>(I31/(G31*62.4))</f>
        <v>2.0032051282051282</v>
      </c>
      <c r="L31" s="19"/>
      <c r="M31" s="71" t="s">
        <v>44</v>
      </c>
      <c r="N31" s="71"/>
      <c r="O31" s="51"/>
      <c r="P31" s="52"/>
    </row>
    <row r="32" spans="1:16" ht="21" customHeight="1">
      <c r="C32" s="90"/>
      <c r="D32" s="91"/>
      <c r="E32" s="92"/>
      <c r="F32" s="17"/>
      <c r="G32" s="18"/>
      <c r="H32" s="16"/>
      <c r="I32" s="15"/>
      <c r="J32" s="16"/>
      <c r="K32" s="16"/>
      <c r="L32" s="19"/>
      <c r="M32" s="71" t="s">
        <v>44</v>
      </c>
      <c r="N32" s="71"/>
      <c r="O32" s="51"/>
      <c r="P32" s="52"/>
    </row>
    <row r="33" spans="3:16" ht="21" customHeight="1">
      <c r="C33" s="90" t="s">
        <v>50</v>
      </c>
      <c r="D33" s="91"/>
      <c r="E33" s="92"/>
      <c r="F33" s="15"/>
      <c r="G33" s="15"/>
      <c r="H33" s="16"/>
      <c r="I33" s="15"/>
      <c r="J33" s="16"/>
      <c r="K33" s="16"/>
      <c r="L33" s="19"/>
      <c r="M33" s="71"/>
      <c r="N33" s="71"/>
      <c r="O33" s="51"/>
      <c r="P33" s="52"/>
    </row>
    <row r="34" spans="3:16" ht="21" customHeight="1">
      <c r="C34" s="90" t="s">
        <v>50</v>
      </c>
      <c r="D34" s="91"/>
      <c r="E34" s="92"/>
      <c r="F34" s="15"/>
      <c r="G34" s="15"/>
      <c r="H34" s="16"/>
      <c r="I34" s="15"/>
      <c r="J34" s="16"/>
      <c r="K34" s="16"/>
      <c r="L34" s="19"/>
      <c r="M34" s="71"/>
      <c r="N34" s="71"/>
      <c r="O34" s="51"/>
      <c r="P34" s="52"/>
    </row>
    <row r="35" spans="3:16" ht="21" customHeight="1">
      <c r="C35" s="90" t="s">
        <v>50</v>
      </c>
      <c r="D35" s="91"/>
      <c r="E35" s="92"/>
      <c r="F35" s="15"/>
      <c r="G35" s="15"/>
      <c r="H35" s="16"/>
      <c r="I35" s="15"/>
      <c r="J35" s="16"/>
      <c r="K35" s="16"/>
      <c r="L35" s="19"/>
      <c r="M35" s="71"/>
      <c r="N35" s="71"/>
      <c r="O35" s="51"/>
      <c r="P35" s="52"/>
    </row>
    <row r="36" spans="3:16" ht="21" customHeight="1">
      <c r="C36" s="90" t="s">
        <v>50</v>
      </c>
      <c r="D36" s="91"/>
      <c r="E36" s="92"/>
      <c r="F36" s="8"/>
      <c r="G36" s="8"/>
      <c r="H36" s="9"/>
      <c r="I36" s="8"/>
      <c r="J36" s="16"/>
      <c r="K36" s="16"/>
      <c r="L36" s="19"/>
      <c r="M36" s="71"/>
      <c r="N36" s="71"/>
      <c r="O36" s="51"/>
      <c r="P36" s="52"/>
    </row>
    <row r="37" spans="3:16" ht="21" customHeight="1">
      <c r="C37" s="90" t="s">
        <v>50</v>
      </c>
      <c r="D37" s="91"/>
      <c r="E37" s="92"/>
      <c r="F37" s="8"/>
      <c r="G37" s="8"/>
      <c r="H37" s="9"/>
      <c r="I37" s="8"/>
      <c r="J37" s="16"/>
      <c r="K37" s="16"/>
      <c r="L37" s="19"/>
      <c r="M37" s="71"/>
      <c r="N37" s="71"/>
      <c r="O37" s="51"/>
      <c r="P37" s="52"/>
    </row>
    <row r="38" spans="3:16" ht="21" customHeight="1">
      <c r="C38" s="90" t="s">
        <v>50</v>
      </c>
      <c r="D38" s="91"/>
      <c r="E38" s="92"/>
      <c r="F38" s="20"/>
      <c r="G38" s="20"/>
      <c r="H38" s="9"/>
      <c r="I38" s="20"/>
      <c r="J38" s="16"/>
      <c r="K38" s="16"/>
      <c r="L38" s="19"/>
      <c r="M38" s="71"/>
      <c r="N38" s="71"/>
      <c r="O38" s="51"/>
      <c r="P38" s="52"/>
    </row>
    <row r="39" spans="3:16" ht="21" customHeight="1">
      <c r="C39" s="90" t="s">
        <v>50</v>
      </c>
      <c r="D39" s="91"/>
      <c r="E39" s="92"/>
      <c r="F39" s="20"/>
      <c r="G39" s="20"/>
      <c r="H39" s="9"/>
      <c r="I39" s="20"/>
      <c r="J39" s="16"/>
      <c r="K39" s="16"/>
      <c r="L39" s="19"/>
      <c r="M39" s="71"/>
      <c r="N39" s="71"/>
      <c r="O39" s="51"/>
      <c r="P39" s="52"/>
    </row>
    <row r="40" spans="3:16" ht="21" customHeight="1">
      <c r="C40" s="90" t="s">
        <v>50</v>
      </c>
      <c r="D40" s="91"/>
      <c r="E40" s="92"/>
      <c r="F40" s="20"/>
      <c r="G40" s="20"/>
      <c r="H40" s="9"/>
      <c r="I40" s="20"/>
      <c r="J40" s="16"/>
      <c r="K40" s="16"/>
      <c r="L40" s="19"/>
      <c r="M40" s="71"/>
      <c r="N40" s="71"/>
      <c r="O40" s="51"/>
      <c r="P40" s="52"/>
    </row>
    <row r="41" spans="3:16" s="1" customFormat="1" ht="21" customHeight="1">
      <c r="C41" s="97" t="s">
        <v>51</v>
      </c>
      <c r="D41" s="97"/>
      <c r="E41" s="97"/>
      <c r="F41" s="97"/>
      <c r="G41" s="97"/>
      <c r="H41" s="97"/>
      <c r="I41" s="97"/>
      <c r="J41" s="97"/>
      <c r="K41" s="97"/>
      <c r="M41" s="83" t="s">
        <v>51</v>
      </c>
      <c r="N41" s="83"/>
      <c r="O41" s="83"/>
      <c r="P41" s="83"/>
    </row>
    <row r="42" spans="3:16" s="1" customFormat="1" ht="223.5" customHeight="1">
      <c r="C42" s="89" t="s">
        <v>52</v>
      </c>
      <c r="D42" s="89"/>
      <c r="E42" s="89"/>
      <c r="F42" s="89"/>
      <c r="G42" s="89"/>
      <c r="H42" s="89"/>
      <c r="I42" s="89"/>
      <c r="J42" s="89"/>
      <c r="K42" s="89"/>
      <c r="M42" s="96" t="s">
        <v>53</v>
      </c>
      <c r="N42" s="96"/>
      <c r="O42" s="96"/>
      <c r="P42" s="96"/>
    </row>
    <row r="43" spans="3:16" s="1" customFormat="1" ht="21" customHeight="1">
      <c r="C43" s="97" t="s">
        <v>54</v>
      </c>
      <c r="D43" s="97"/>
      <c r="E43" s="97"/>
      <c r="F43" s="97"/>
      <c r="G43" s="97"/>
      <c r="H43" s="97"/>
      <c r="I43" s="97"/>
      <c r="J43" s="97"/>
      <c r="K43" s="97"/>
      <c r="M43" s="88" t="s">
        <v>54</v>
      </c>
      <c r="N43" s="88"/>
      <c r="O43" s="88"/>
      <c r="P43" s="88"/>
    </row>
    <row r="44" spans="3:16" ht="30" customHeight="1">
      <c r="C44" s="98" t="s">
        <v>55</v>
      </c>
      <c r="D44" s="98"/>
      <c r="E44" s="99"/>
      <c r="F44" s="14" t="s">
        <v>56</v>
      </c>
      <c r="G44" s="14" t="s">
        <v>57</v>
      </c>
      <c r="H44" s="14" t="s">
        <v>58</v>
      </c>
      <c r="I44" s="22" t="s">
        <v>59</v>
      </c>
      <c r="J44" s="1"/>
      <c r="M44" s="59" t="s">
        <v>11</v>
      </c>
      <c r="N44" s="59" t="s">
        <v>12</v>
      </c>
      <c r="O44" s="59" t="s">
        <v>13</v>
      </c>
      <c r="P44" s="76" t="s">
        <v>14</v>
      </c>
    </row>
    <row r="45" spans="3:16" ht="21" customHeight="1">
      <c r="C45" s="116" t="s">
        <v>60</v>
      </c>
      <c r="D45" s="119"/>
      <c r="E45" s="120"/>
      <c r="F45" s="23">
        <v>8.9</v>
      </c>
      <c r="G45" s="23">
        <v>12</v>
      </c>
      <c r="H45" s="24">
        <v>40</v>
      </c>
      <c r="I45" s="16">
        <f>(((G45*J17)*0.6)/128)*F45</f>
        <v>3.2040000000000006</v>
      </c>
      <c r="M45" s="71" t="s">
        <v>44</v>
      </c>
      <c r="N45" s="71"/>
      <c r="O45" s="51"/>
      <c r="P45" s="52"/>
    </row>
    <row r="46" spans="3:16" ht="21" customHeight="1">
      <c r="C46" s="116" t="s">
        <v>61</v>
      </c>
      <c r="D46" s="119"/>
      <c r="E46" s="120"/>
      <c r="F46" s="23">
        <v>8.3000000000000007</v>
      </c>
      <c r="G46" s="23">
        <v>1.5</v>
      </c>
      <c r="H46" s="24">
        <v>10</v>
      </c>
      <c r="I46" s="16">
        <f>(((G46*J17)*0.9)/128)*F46</f>
        <v>0.56025000000000025</v>
      </c>
      <c r="M46" s="71" t="s">
        <v>44</v>
      </c>
      <c r="N46" s="71"/>
      <c r="O46" s="51"/>
      <c r="P46" s="52"/>
    </row>
    <row r="47" spans="3:16" ht="21" customHeight="1">
      <c r="C47" s="116" t="s">
        <v>62</v>
      </c>
      <c r="D47" s="119"/>
      <c r="E47" s="120"/>
      <c r="F47" s="23">
        <v>9.1</v>
      </c>
      <c r="G47" s="23">
        <v>4</v>
      </c>
      <c r="H47" s="24">
        <v>35</v>
      </c>
      <c r="I47" s="16">
        <f>(((G47*J17)*0.65)/128)*F47</f>
        <v>1.1830000000000001</v>
      </c>
      <c r="J47" s="108" t="s">
        <v>63</v>
      </c>
      <c r="K47" s="106"/>
      <c r="M47" s="71" t="s">
        <v>44</v>
      </c>
      <c r="N47" s="71"/>
      <c r="O47" s="51"/>
      <c r="P47" s="52"/>
    </row>
    <row r="48" spans="3:16" ht="21" customHeight="1">
      <c r="C48" s="110" t="s">
        <v>64</v>
      </c>
      <c r="D48" s="111"/>
      <c r="E48" s="112"/>
      <c r="F48" s="23"/>
      <c r="G48" s="23"/>
      <c r="H48" s="24"/>
      <c r="I48" s="16"/>
      <c r="J48" s="16">
        <f>SUM(I45:I53)</f>
        <v>4.9472500000000013</v>
      </c>
      <c r="K48" s="2" t="s">
        <v>17</v>
      </c>
      <c r="M48" s="71"/>
      <c r="N48" s="71"/>
      <c r="O48" s="51"/>
      <c r="P48" s="52"/>
    </row>
    <row r="49" spans="3:16" ht="21" customHeight="1">
      <c r="C49" s="110" t="s">
        <v>64</v>
      </c>
      <c r="D49" s="111"/>
      <c r="E49" s="112"/>
      <c r="F49" s="25"/>
      <c r="G49" s="25"/>
      <c r="H49" s="26"/>
      <c r="I49" s="9"/>
      <c r="J49" s="27"/>
      <c r="M49" s="71"/>
      <c r="N49" s="71"/>
      <c r="O49" s="51"/>
      <c r="P49" s="52"/>
    </row>
    <row r="50" spans="3:16" ht="21" customHeight="1">
      <c r="C50" s="110" t="s">
        <v>64</v>
      </c>
      <c r="D50" s="111"/>
      <c r="E50" s="112"/>
      <c r="F50" s="25"/>
      <c r="G50" s="25"/>
      <c r="H50" s="26"/>
      <c r="I50" s="9"/>
      <c r="J50" s="27"/>
      <c r="M50" s="71"/>
      <c r="N50" s="71"/>
      <c r="O50" s="51"/>
      <c r="P50" s="52"/>
    </row>
    <row r="51" spans="3:16" ht="21" customHeight="1">
      <c r="C51" s="110" t="s">
        <v>64</v>
      </c>
      <c r="D51" s="111"/>
      <c r="E51" s="112"/>
      <c r="F51" s="25"/>
      <c r="G51" s="25"/>
      <c r="H51" s="26"/>
      <c r="I51" s="9"/>
      <c r="J51" s="27"/>
      <c r="M51" s="71"/>
      <c r="N51" s="71"/>
      <c r="O51" s="51"/>
      <c r="P51" s="52"/>
    </row>
    <row r="52" spans="3:16" ht="21" customHeight="1">
      <c r="C52" s="110" t="s">
        <v>64</v>
      </c>
      <c r="D52" s="111"/>
      <c r="E52" s="112"/>
      <c r="F52" s="25"/>
      <c r="G52" s="25"/>
      <c r="H52" s="26"/>
      <c r="I52" s="9"/>
      <c r="J52" s="27"/>
      <c r="M52" s="71"/>
      <c r="N52" s="71"/>
      <c r="O52" s="51"/>
      <c r="P52" s="52"/>
    </row>
    <row r="53" spans="3:16" ht="21" customHeight="1">
      <c r="C53" s="110" t="s">
        <v>64</v>
      </c>
      <c r="D53" s="111"/>
      <c r="E53" s="112"/>
      <c r="F53" s="25"/>
      <c r="G53" s="25"/>
      <c r="H53" s="26"/>
      <c r="I53" s="9"/>
      <c r="M53" s="71"/>
      <c r="N53" s="71"/>
      <c r="O53" s="51"/>
      <c r="P53" s="52"/>
    </row>
    <row r="54" spans="3:16" s="1" customFormat="1" ht="21" customHeight="1">
      <c r="C54" s="97" t="s">
        <v>65</v>
      </c>
      <c r="D54" s="97"/>
      <c r="E54" s="97"/>
      <c r="F54" s="97"/>
      <c r="G54" s="97"/>
      <c r="H54" s="97"/>
      <c r="I54" s="97"/>
      <c r="J54" s="97"/>
      <c r="K54" s="97"/>
      <c r="M54" s="85" t="s">
        <v>65</v>
      </c>
      <c r="N54" s="85"/>
      <c r="O54" s="85"/>
      <c r="P54" s="85"/>
    </row>
    <row r="55" spans="3:16" ht="30" customHeight="1">
      <c r="C55" s="98" t="s">
        <v>66</v>
      </c>
      <c r="D55" s="99"/>
      <c r="E55" s="107"/>
      <c r="F55" s="14" t="s">
        <v>67</v>
      </c>
      <c r="G55" s="14" t="s">
        <v>9</v>
      </c>
      <c r="H55" s="14" t="s">
        <v>10</v>
      </c>
      <c r="M55" s="59" t="s">
        <v>11</v>
      </c>
      <c r="N55" s="59" t="s">
        <v>12</v>
      </c>
      <c r="O55" s="59" t="s">
        <v>13</v>
      </c>
      <c r="P55" s="76" t="s">
        <v>14</v>
      </c>
    </row>
    <row r="56" spans="3:16" ht="21" customHeight="1">
      <c r="C56" s="110" t="s">
        <v>68</v>
      </c>
      <c r="D56" s="111"/>
      <c r="E56" s="112"/>
      <c r="F56" s="23"/>
      <c r="G56" s="78"/>
      <c r="H56" s="77"/>
      <c r="I56" s="81"/>
      <c r="M56" s="71"/>
      <c r="N56" s="71"/>
      <c r="O56" s="51"/>
      <c r="P56" s="52"/>
    </row>
    <row r="57" spans="3:16" ht="21" customHeight="1">
      <c r="C57" s="110" t="s">
        <v>68</v>
      </c>
      <c r="D57" s="111"/>
      <c r="E57" s="112"/>
      <c r="F57" s="23"/>
      <c r="G57" s="78"/>
      <c r="H57" s="77"/>
      <c r="I57" s="81"/>
      <c r="J57" s="114" t="s">
        <v>69</v>
      </c>
      <c r="K57" s="115"/>
      <c r="M57" s="71"/>
      <c r="N57" s="71"/>
      <c r="O57" s="51"/>
      <c r="P57" s="52"/>
    </row>
    <row r="58" spans="3:16" ht="21" customHeight="1">
      <c r="C58" s="110" t="s">
        <v>68</v>
      </c>
      <c r="D58" s="111"/>
      <c r="E58" s="112"/>
      <c r="F58" s="23"/>
      <c r="G58" s="78"/>
      <c r="H58" s="82"/>
      <c r="I58" s="81"/>
      <c r="J58" s="16"/>
      <c r="K58" s="2" t="s">
        <v>17</v>
      </c>
      <c r="M58" s="71"/>
      <c r="N58" s="71"/>
      <c r="O58" s="51"/>
      <c r="P58" s="52"/>
    </row>
    <row r="59" spans="3:16" ht="21" customHeight="1">
      <c r="C59" s="110" t="s">
        <v>68</v>
      </c>
      <c r="D59" s="111"/>
      <c r="E59" s="112"/>
      <c r="F59" s="79"/>
      <c r="G59" s="80"/>
      <c r="H59" s="79"/>
      <c r="I59" s="81"/>
      <c r="J59" s="27"/>
      <c r="M59" s="71"/>
      <c r="N59" s="71"/>
      <c r="O59" s="51"/>
      <c r="P59" s="52"/>
    </row>
    <row r="60" spans="3:16" ht="21" customHeight="1">
      <c r="C60" s="110" t="s">
        <v>68</v>
      </c>
      <c r="D60" s="111"/>
      <c r="E60" s="112"/>
      <c r="F60" s="25"/>
      <c r="G60" s="80"/>
      <c r="H60" s="79"/>
      <c r="I60" s="81"/>
      <c r="J60" s="27"/>
      <c r="M60" s="71"/>
      <c r="N60" s="71"/>
      <c r="O60" s="51"/>
      <c r="P60" s="52"/>
    </row>
    <row r="61" spans="3:16" ht="21" customHeight="1">
      <c r="C61" s="110" t="s">
        <v>68</v>
      </c>
      <c r="D61" s="111"/>
      <c r="E61" s="112"/>
      <c r="F61" s="25"/>
      <c r="G61" s="80"/>
      <c r="H61" s="79"/>
      <c r="I61" s="81"/>
      <c r="J61" s="27"/>
      <c r="M61" s="71"/>
      <c r="N61" s="71"/>
      <c r="O61" s="51"/>
      <c r="P61" s="52"/>
    </row>
    <row r="62" spans="3:16" ht="21" customHeight="1">
      <c r="C62" s="110" t="s">
        <v>68</v>
      </c>
      <c r="D62" s="111"/>
      <c r="E62" s="112"/>
      <c r="F62" s="25"/>
      <c r="G62" s="80"/>
      <c r="H62" s="79"/>
      <c r="I62" s="81"/>
      <c r="J62" s="27"/>
      <c r="M62" s="71"/>
      <c r="N62" s="71"/>
      <c r="O62" s="51"/>
      <c r="P62" s="52"/>
    </row>
    <row r="63" spans="3:16" ht="21" customHeight="1">
      <c r="C63" s="110" t="s">
        <v>68</v>
      </c>
      <c r="D63" s="111"/>
      <c r="E63" s="112"/>
      <c r="F63" s="25"/>
      <c r="G63" s="80"/>
      <c r="H63" s="79"/>
      <c r="I63" s="81"/>
      <c r="M63" s="71"/>
      <c r="N63" s="71"/>
      <c r="O63" s="51"/>
      <c r="P63" s="52"/>
    </row>
    <row r="64" spans="3:16" s="1" customFormat="1" ht="21" customHeight="1">
      <c r="C64" s="113" t="s">
        <v>70</v>
      </c>
      <c r="D64" s="113"/>
      <c r="E64" s="113"/>
      <c r="F64" s="113"/>
      <c r="G64" s="113"/>
      <c r="H64" s="113"/>
      <c r="I64" s="113"/>
      <c r="J64" s="97"/>
      <c r="K64" s="97"/>
    </row>
    <row r="65" spans="3:16" ht="21" customHeight="1">
      <c r="C65" s="106"/>
      <c r="D65" s="106"/>
      <c r="E65" s="106"/>
      <c r="F65" s="106"/>
      <c r="G65" s="106"/>
      <c r="I65" s="4" t="s">
        <v>10</v>
      </c>
      <c r="J65" s="4" t="s">
        <v>9</v>
      </c>
    </row>
    <row r="66" spans="3:16" ht="21" customHeight="1">
      <c r="C66" s="28" t="s">
        <v>71</v>
      </c>
      <c r="D66" s="29">
        <f>I66/J7</f>
        <v>0.75889328063241102</v>
      </c>
      <c r="G66" s="101" t="s">
        <v>72</v>
      </c>
      <c r="H66" s="102"/>
      <c r="I66" s="16">
        <f>D67*J13</f>
        <v>192</v>
      </c>
      <c r="J66" s="16">
        <f>I66/62.4</f>
        <v>3.0769230769230771</v>
      </c>
      <c r="M66" s="2" t="s">
        <v>73</v>
      </c>
    </row>
    <row r="67" spans="3:16" ht="21" customHeight="1">
      <c r="C67" s="31" t="s">
        <v>74</v>
      </c>
      <c r="D67" s="32">
        <v>0.3</v>
      </c>
      <c r="G67" s="101" t="s">
        <v>75</v>
      </c>
      <c r="H67" s="102"/>
      <c r="I67" s="16">
        <f>-((F28/100*J28)+(F29/100*J29)+(F30/100*J30)+(F31/100*J31)+(F32/100*J32)+(F33/100*J33))</f>
        <v>-167.95400000000001</v>
      </c>
      <c r="J67" s="1"/>
      <c r="M67" s="2" t="s">
        <v>76</v>
      </c>
    </row>
    <row r="68" spans="3:16" ht="21" customHeight="1">
      <c r="G68" s="101" t="s">
        <v>77</v>
      </c>
      <c r="H68" s="102"/>
      <c r="I68" s="16">
        <f>J48</f>
        <v>4.9472500000000013</v>
      </c>
      <c r="J68" s="1"/>
      <c r="M68" s="2" t="s">
        <v>78</v>
      </c>
    </row>
    <row r="69" spans="3:16" ht="21" customHeight="1">
      <c r="G69" s="101" t="s">
        <v>79</v>
      </c>
      <c r="H69" s="102"/>
      <c r="I69" s="16">
        <f>SUM(I66:I68)+I67*-2</f>
        <v>364.90125</v>
      </c>
      <c r="J69" s="1"/>
      <c r="M69" s="33" t="s">
        <v>80</v>
      </c>
    </row>
    <row r="70" spans="3:16" ht="21" customHeight="1">
      <c r="C70" s="34"/>
      <c r="D70" s="34"/>
      <c r="E70" s="34"/>
      <c r="F70" s="3" t="s">
        <v>81</v>
      </c>
      <c r="G70" s="3" t="s">
        <v>82</v>
      </c>
      <c r="H70" s="3" t="s">
        <v>83</v>
      </c>
      <c r="I70" s="35" t="s">
        <v>84</v>
      </c>
      <c r="J70" s="3" t="s">
        <v>85</v>
      </c>
      <c r="K70" s="3" t="s">
        <v>86</v>
      </c>
      <c r="L70" s="4"/>
      <c r="N70" s="4"/>
      <c r="O70" s="4"/>
      <c r="P70" s="4"/>
    </row>
    <row r="71" spans="3:16" ht="21" customHeight="1">
      <c r="C71" s="30" t="s">
        <v>87</v>
      </c>
      <c r="D71" s="104" t="s">
        <v>88</v>
      </c>
      <c r="E71" s="105"/>
      <c r="F71" s="37">
        <f>J13+J7</f>
        <v>893</v>
      </c>
      <c r="G71" s="38">
        <f>SUM(H22:H24)</f>
        <v>7</v>
      </c>
      <c r="H71" s="38">
        <f>SUM(J28:J29)</f>
        <v>468.2</v>
      </c>
      <c r="I71" s="38">
        <f>SUM(H56:H63)</f>
        <v>0</v>
      </c>
      <c r="J71" s="38">
        <f>SUM(I67:I69)-I68</f>
        <v>196.94725</v>
      </c>
      <c r="K71" s="38">
        <f>SUM(F71:J71)</f>
        <v>1565.14725</v>
      </c>
      <c r="L71" s="21"/>
      <c r="M71" s="2" t="s">
        <v>89</v>
      </c>
      <c r="N71" s="21"/>
      <c r="O71" s="21"/>
      <c r="P71" s="21"/>
    </row>
    <row r="72" spans="3:16" ht="21" customHeight="1">
      <c r="C72" s="39" t="s">
        <v>9</v>
      </c>
      <c r="D72" s="104" t="s">
        <v>90</v>
      </c>
      <c r="E72" s="105"/>
      <c r="F72" s="40">
        <f>SUM(G13:G14)+G7</f>
        <v>5.2382882124261432</v>
      </c>
      <c r="G72" s="41">
        <f>SUM(G22:G24)</f>
        <v>0.1232741617357002</v>
      </c>
      <c r="H72" s="41">
        <f>SUM(K28:K40)</f>
        <v>18.566006409832813</v>
      </c>
      <c r="I72" s="41">
        <f>SUM(G56:G63)</f>
        <v>0</v>
      </c>
      <c r="J72" s="41">
        <f>SUM(J66)</f>
        <v>3.0769230769230771</v>
      </c>
      <c r="K72" s="41">
        <f>SUM(F72:J72)</f>
        <v>27.004491860917732</v>
      </c>
      <c r="L72" s="42"/>
      <c r="M72" s="2" t="s">
        <v>91</v>
      </c>
      <c r="N72" s="42"/>
      <c r="O72" s="42"/>
      <c r="P72" s="42"/>
    </row>
    <row r="73" spans="3:16" ht="21" customHeight="1">
      <c r="C73" s="30" t="s">
        <v>92</v>
      </c>
      <c r="D73" s="104" t="s">
        <v>93</v>
      </c>
      <c r="E73" s="105"/>
      <c r="F73" s="16">
        <f>K71/27</f>
        <v>57.968416666666663</v>
      </c>
      <c r="M73" s="2" t="s">
        <v>94</v>
      </c>
    </row>
    <row r="74" spans="3:16" ht="21" customHeight="1">
      <c r="C74" s="30" t="s">
        <v>95</v>
      </c>
      <c r="D74" s="43"/>
      <c r="E74" s="36"/>
      <c r="F74" s="16">
        <f>H72/K72*100</f>
        <v>68.751548836593656</v>
      </c>
    </row>
    <row r="75" spans="3:16" ht="21" customHeight="1">
      <c r="C75" s="30"/>
      <c r="D75" s="43"/>
      <c r="F75" s="44"/>
      <c r="H75" s="45" t="s">
        <v>96</v>
      </c>
      <c r="I75" s="16">
        <f>(F73-E77)/F73*100</f>
        <v>100</v>
      </c>
      <c r="J75" s="46" t="s">
        <v>97</v>
      </c>
    </row>
    <row r="76" spans="3:16" ht="21" customHeight="1">
      <c r="C76" s="97" t="s">
        <v>98</v>
      </c>
      <c r="D76" s="97"/>
      <c r="E76" s="97"/>
      <c r="F76" s="97"/>
      <c r="G76" s="97"/>
      <c r="H76" s="97"/>
      <c r="I76" s="97"/>
      <c r="J76" s="97"/>
      <c r="K76" s="97"/>
    </row>
    <row r="77" spans="3:16" ht="21" customHeight="1">
      <c r="C77" s="33" t="s">
        <v>99</v>
      </c>
      <c r="D77" s="47"/>
      <c r="E77" s="48"/>
      <c r="F77" s="2" t="s">
        <v>100</v>
      </c>
      <c r="M77" s="2" t="s">
        <v>101</v>
      </c>
    </row>
    <row r="78" spans="3:16" ht="21" customHeight="1">
      <c r="C78" s="33" t="s">
        <v>102</v>
      </c>
      <c r="D78" s="33"/>
      <c r="E78" s="49"/>
      <c r="F78" s="2" t="s">
        <v>97</v>
      </c>
      <c r="M78" s="2" t="s">
        <v>103</v>
      </c>
    </row>
    <row r="80" spans="3:16" s="1" customFormat="1" ht="21" customHeight="1">
      <c r="C80" s="97" t="s">
        <v>104</v>
      </c>
      <c r="D80" s="97"/>
      <c r="E80" s="97"/>
      <c r="F80" s="97"/>
      <c r="G80" s="97"/>
      <c r="H80" s="97"/>
      <c r="I80" s="97"/>
      <c r="J80" s="97"/>
      <c r="K80" s="97"/>
      <c r="M80" s="97" t="s">
        <v>104</v>
      </c>
      <c r="N80" s="97"/>
      <c r="O80" s="97"/>
      <c r="P80" s="97"/>
    </row>
    <row r="81" spans="3:16" s="1" customFormat="1" ht="210" customHeight="1">
      <c r="C81" s="89" t="s">
        <v>105</v>
      </c>
      <c r="D81" s="89"/>
      <c r="E81" s="89"/>
      <c r="F81" s="89"/>
      <c r="G81" s="89"/>
      <c r="H81" s="89"/>
      <c r="I81" s="89"/>
      <c r="J81" s="89"/>
      <c r="K81" s="89"/>
      <c r="L81" s="89"/>
      <c r="M81" s="89"/>
      <c r="N81" s="89"/>
      <c r="O81" s="89"/>
      <c r="P81" s="89"/>
    </row>
    <row r="82" spans="3:16" ht="30" customHeight="1">
      <c r="C82" s="98" t="s">
        <v>7</v>
      </c>
      <c r="D82" s="98"/>
      <c r="E82" s="99"/>
      <c r="F82" s="103" t="s">
        <v>106</v>
      </c>
      <c r="G82" s="103"/>
      <c r="H82" s="103"/>
      <c r="I82" s="103"/>
      <c r="J82" s="103"/>
      <c r="K82" s="103"/>
      <c r="M82" s="59" t="s">
        <v>11</v>
      </c>
      <c r="N82" s="59" t="s">
        <v>12</v>
      </c>
      <c r="O82" s="59" t="s">
        <v>13</v>
      </c>
      <c r="P82" s="76" t="s">
        <v>14</v>
      </c>
    </row>
    <row r="83" spans="3:16" ht="21" customHeight="1">
      <c r="C83" s="93" t="s">
        <v>107</v>
      </c>
      <c r="D83" s="93"/>
      <c r="E83" s="93"/>
      <c r="F83" s="103"/>
      <c r="G83" s="103"/>
      <c r="H83" s="103"/>
      <c r="I83" s="103"/>
      <c r="J83" s="103"/>
      <c r="K83" s="103"/>
      <c r="M83" s="71"/>
      <c r="N83" s="71"/>
      <c r="O83" s="51"/>
      <c r="P83" s="52"/>
    </row>
    <row r="84" spans="3:16" ht="21" customHeight="1">
      <c r="C84" s="93" t="s">
        <v>108</v>
      </c>
      <c r="D84" s="93"/>
      <c r="E84" s="93"/>
      <c r="F84" s="103"/>
      <c r="G84" s="103"/>
      <c r="H84" s="103"/>
      <c r="I84" s="103"/>
      <c r="J84" s="103"/>
      <c r="K84" s="103"/>
      <c r="M84" s="71"/>
      <c r="N84" s="71"/>
      <c r="O84" s="51"/>
      <c r="P84" s="52"/>
    </row>
    <row r="85" spans="3:16" ht="21" customHeight="1">
      <c r="C85" s="93" t="s">
        <v>108</v>
      </c>
      <c r="D85" s="93"/>
      <c r="E85" s="93"/>
      <c r="F85" s="103"/>
      <c r="G85" s="103"/>
      <c r="H85" s="103"/>
      <c r="I85" s="103"/>
      <c r="J85" s="103"/>
      <c r="K85" s="103"/>
      <c r="M85" s="71"/>
      <c r="N85" s="71"/>
      <c r="O85" s="51"/>
      <c r="P85" s="52"/>
    </row>
    <row r="86" spans="3:16" ht="21" customHeight="1">
      <c r="C86" s="97" t="s">
        <v>109</v>
      </c>
      <c r="D86" s="97"/>
      <c r="E86" s="97"/>
      <c r="F86" s="97"/>
      <c r="G86" s="97"/>
      <c r="H86" s="97"/>
      <c r="I86" s="97"/>
      <c r="J86" s="97"/>
      <c r="K86" s="97"/>
      <c r="M86" s="83" t="s">
        <v>109</v>
      </c>
      <c r="N86" s="83"/>
      <c r="O86" s="83"/>
      <c r="P86" s="83"/>
    </row>
    <row r="87" spans="3:16" s="1" customFormat="1" ht="110.25" customHeight="1">
      <c r="C87" s="84" t="s">
        <v>110</v>
      </c>
      <c r="D87" s="84"/>
      <c r="E87" s="84"/>
      <c r="F87" s="84"/>
      <c r="G87" s="84"/>
      <c r="H87" s="84"/>
      <c r="I87" s="84"/>
      <c r="J87" s="84"/>
      <c r="K87" s="84"/>
      <c r="L87" s="84"/>
      <c r="M87" s="84"/>
      <c r="N87" s="84"/>
      <c r="O87" s="84"/>
      <c r="P87" s="84"/>
    </row>
    <row r="88" spans="3:16" ht="21" customHeight="1">
      <c r="C88" s="97" t="s">
        <v>111</v>
      </c>
      <c r="D88" s="97"/>
      <c r="E88" s="97"/>
      <c r="F88" s="97"/>
      <c r="G88" s="97"/>
      <c r="H88" s="97"/>
      <c r="I88" s="97"/>
      <c r="J88" s="97"/>
      <c r="K88" s="97"/>
      <c r="M88" s="88" t="s">
        <v>111</v>
      </c>
      <c r="N88" s="88"/>
      <c r="O88" s="88"/>
      <c r="P88" s="88"/>
    </row>
    <row r="89" spans="3:16" ht="30" customHeight="1">
      <c r="C89" s="98" t="s">
        <v>7</v>
      </c>
      <c r="D89" s="98"/>
      <c r="E89" s="99"/>
      <c r="F89" s="103" t="s">
        <v>112</v>
      </c>
      <c r="G89" s="103"/>
      <c r="H89" s="103"/>
      <c r="I89" s="103"/>
      <c r="J89" s="103"/>
      <c r="K89" s="103"/>
      <c r="M89" s="59" t="s">
        <v>11</v>
      </c>
      <c r="N89" s="59" t="s">
        <v>12</v>
      </c>
      <c r="O89" s="59" t="s">
        <v>13</v>
      </c>
      <c r="P89" s="76" t="s">
        <v>14</v>
      </c>
    </row>
    <row r="90" spans="3:16" ht="21" customHeight="1">
      <c r="C90" s="93" t="s">
        <v>113</v>
      </c>
      <c r="D90" s="93"/>
      <c r="E90" s="93"/>
      <c r="F90" s="103"/>
      <c r="G90" s="103"/>
      <c r="H90" s="103"/>
      <c r="I90" s="103"/>
      <c r="J90" s="103"/>
      <c r="K90" s="103"/>
      <c r="M90" s="71"/>
      <c r="N90" s="71"/>
      <c r="O90" s="51"/>
      <c r="P90" s="52"/>
    </row>
    <row r="91" spans="3:16" ht="21" customHeight="1">
      <c r="C91" s="93" t="s">
        <v>113</v>
      </c>
      <c r="D91" s="93"/>
      <c r="E91" s="93"/>
      <c r="F91" s="103"/>
      <c r="G91" s="103"/>
      <c r="H91" s="103"/>
      <c r="I91" s="103"/>
      <c r="J91" s="103"/>
      <c r="K91" s="103"/>
      <c r="M91" s="71"/>
      <c r="N91" s="71"/>
      <c r="O91" s="51"/>
      <c r="P91" s="52"/>
    </row>
    <row r="92" spans="3:16" ht="21" customHeight="1">
      <c r="C92" s="93" t="s">
        <v>113</v>
      </c>
      <c r="D92" s="93"/>
      <c r="E92" s="93"/>
      <c r="F92" s="103"/>
      <c r="G92" s="103"/>
      <c r="H92" s="103"/>
      <c r="I92" s="103"/>
      <c r="J92" s="103"/>
      <c r="K92" s="103"/>
      <c r="M92" s="71"/>
      <c r="N92" s="71"/>
      <c r="O92" s="51"/>
      <c r="P92" s="52"/>
    </row>
    <row r="93" spans="3:16" ht="21" customHeight="1">
      <c r="C93" s="97" t="s">
        <v>114</v>
      </c>
      <c r="D93" s="97"/>
      <c r="E93" s="97"/>
      <c r="F93" s="97"/>
      <c r="G93" s="97"/>
      <c r="H93" s="97"/>
      <c r="I93" s="97"/>
      <c r="J93" s="97"/>
      <c r="K93" s="97"/>
      <c r="M93" s="85" t="s">
        <v>114</v>
      </c>
      <c r="N93" s="85"/>
      <c r="O93" s="85"/>
      <c r="P93" s="85"/>
    </row>
    <row r="94" spans="3:16" ht="30" customHeight="1">
      <c r="C94" s="98" t="s">
        <v>7</v>
      </c>
      <c r="D94" s="98"/>
      <c r="E94" s="99"/>
      <c r="F94" s="103" t="s">
        <v>115</v>
      </c>
      <c r="G94" s="103"/>
      <c r="H94" s="103"/>
      <c r="I94" s="103"/>
      <c r="J94" s="103"/>
      <c r="K94" s="103"/>
      <c r="M94" s="59" t="s">
        <v>11</v>
      </c>
      <c r="N94" s="59" t="s">
        <v>12</v>
      </c>
      <c r="O94" s="59" t="s">
        <v>13</v>
      </c>
      <c r="P94" s="76" t="s">
        <v>14</v>
      </c>
    </row>
    <row r="95" spans="3:16" ht="21" customHeight="1">
      <c r="C95" s="93" t="s">
        <v>116</v>
      </c>
      <c r="D95" s="93"/>
      <c r="E95" s="93"/>
      <c r="F95" s="103"/>
      <c r="G95" s="103"/>
      <c r="H95" s="103"/>
      <c r="I95" s="103"/>
      <c r="J95" s="103"/>
      <c r="K95" s="103"/>
      <c r="M95" s="71"/>
      <c r="N95" s="71"/>
      <c r="O95" s="51"/>
      <c r="P95" s="52"/>
    </row>
    <row r="96" spans="3:16" ht="21" customHeight="1">
      <c r="C96" s="93" t="s">
        <v>116</v>
      </c>
      <c r="D96" s="93"/>
      <c r="E96" s="93"/>
      <c r="F96" s="103"/>
      <c r="G96" s="103"/>
      <c r="H96" s="103"/>
      <c r="I96" s="103"/>
      <c r="J96" s="103"/>
      <c r="K96" s="103"/>
      <c r="M96" s="71"/>
      <c r="N96" s="71"/>
      <c r="O96" s="51"/>
      <c r="P96" s="52"/>
    </row>
    <row r="97" spans="3:16" ht="21" customHeight="1">
      <c r="C97" s="93" t="s">
        <v>116</v>
      </c>
      <c r="D97" s="93"/>
      <c r="E97" s="93"/>
      <c r="F97" s="103"/>
      <c r="G97" s="103"/>
      <c r="H97" s="103"/>
      <c r="I97" s="103"/>
      <c r="J97" s="103"/>
      <c r="K97" s="103"/>
      <c r="M97" s="71"/>
      <c r="N97" s="71"/>
      <c r="O97" s="51"/>
      <c r="P97" s="52"/>
    </row>
    <row r="98" spans="3:16" ht="21" customHeight="1">
      <c r="C98" s="97" t="s">
        <v>117</v>
      </c>
      <c r="D98" s="97"/>
      <c r="E98" s="97"/>
      <c r="F98" s="97"/>
      <c r="G98" s="97"/>
      <c r="H98" s="97"/>
      <c r="I98" s="97"/>
      <c r="J98" s="97"/>
      <c r="K98" s="97"/>
      <c r="M98" s="83" t="s">
        <v>117</v>
      </c>
      <c r="N98" s="83"/>
      <c r="O98" s="83"/>
      <c r="P98" s="83"/>
    </row>
    <row r="99" spans="3:16" s="1" customFormat="1" ht="110.25" customHeight="1">
      <c r="C99" s="84" t="s">
        <v>118</v>
      </c>
      <c r="D99" s="84"/>
      <c r="E99" s="84"/>
      <c r="F99" s="84"/>
      <c r="G99" s="84"/>
      <c r="H99" s="84"/>
      <c r="I99" s="84"/>
      <c r="J99" s="84"/>
      <c r="K99" s="84"/>
      <c r="L99" s="84"/>
      <c r="M99" s="84"/>
      <c r="N99" s="84"/>
      <c r="O99" s="84"/>
      <c r="P99" s="84"/>
    </row>
    <row r="100" spans="3:16" ht="30" customHeight="1">
      <c r="C100" s="98" t="s">
        <v>7</v>
      </c>
      <c r="D100" s="98"/>
      <c r="E100" s="99"/>
      <c r="F100" s="103" t="s">
        <v>119</v>
      </c>
      <c r="G100" s="103"/>
      <c r="H100" s="103"/>
      <c r="I100" s="103"/>
      <c r="J100" s="103"/>
      <c r="K100" s="103"/>
      <c r="M100" s="59" t="s">
        <v>11</v>
      </c>
      <c r="N100" s="59" t="s">
        <v>12</v>
      </c>
      <c r="O100" s="59" t="s">
        <v>13</v>
      </c>
      <c r="P100" s="76" t="s">
        <v>14</v>
      </c>
    </row>
    <row r="101" spans="3:16" ht="21" customHeight="1">
      <c r="C101" s="93" t="s">
        <v>120</v>
      </c>
      <c r="D101" s="93"/>
      <c r="E101" s="93"/>
      <c r="F101" s="103"/>
      <c r="G101" s="103"/>
      <c r="H101" s="103"/>
      <c r="I101" s="103"/>
      <c r="J101" s="103"/>
      <c r="K101" s="103"/>
      <c r="M101" s="71"/>
      <c r="N101" s="71"/>
      <c r="O101" s="51"/>
      <c r="P101" s="52"/>
    </row>
    <row r="102" spans="3:16" ht="21" customHeight="1">
      <c r="C102" s="93" t="s">
        <v>120</v>
      </c>
      <c r="D102" s="93"/>
      <c r="E102" s="93"/>
      <c r="F102" s="103"/>
      <c r="G102" s="103"/>
      <c r="H102" s="103"/>
      <c r="I102" s="103"/>
      <c r="J102" s="103"/>
      <c r="K102" s="103"/>
      <c r="M102" s="71"/>
      <c r="N102" s="71"/>
      <c r="O102" s="51"/>
      <c r="P102" s="52"/>
    </row>
    <row r="103" spans="3:16" ht="21" customHeight="1">
      <c r="C103" s="93" t="s">
        <v>120</v>
      </c>
      <c r="D103" s="93"/>
      <c r="E103" s="93"/>
      <c r="F103" s="103"/>
      <c r="G103" s="103"/>
      <c r="H103" s="103"/>
      <c r="I103" s="103"/>
      <c r="J103" s="103"/>
      <c r="K103" s="103"/>
      <c r="M103" s="71"/>
      <c r="N103" s="71"/>
      <c r="O103" s="51"/>
      <c r="P103" s="52"/>
    </row>
    <row r="104" spans="3:16" ht="21" customHeight="1">
      <c r="C104" s="97" t="s">
        <v>121</v>
      </c>
      <c r="D104" s="97"/>
      <c r="E104" s="97"/>
      <c r="F104" s="97"/>
      <c r="G104" s="97"/>
      <c r="H104" s="97"/>
      <c r="I104" s="97"/>
      <c r="J104" s="97"/>
      <c r="K104" s="97"/>
      <c r="M104" s="83" t="s">
        <v>121</v>
      </c>
      <c r="N104" s="83"/>
      <c r="O104" s="83"/>
      <c r="P104" s="83"/>
    </row>
    <row r="105" spans="3:16" s="1" customFormat="1" ht="46.5" customHeight="1">
      <c r="C105" s="84" t="s">
        <v>122</v>
      </c>
      <c r="D105" s="84"/>
      <c r="E105" s="84"/>
      <c r="F105" s="84"/>
      <c r="G105" s="84"/>
      <c r="H105" s="84"/>
      <c r="I105" s="84"/>
      <c r="J105" s="84"/>
      <c r="K105" s="84"/>
      <c r="L105" s="84"/>
      <c r="M105" s="84"/>
      <c r="N105" s="84"/>
      <c r="O105" s="84"/>
      <c r="P105" s="84"/>
    </row>
    <row r="106" spans="3:16" ht="30" customHeight="1">
      <c r="C106" s="98" t="s">
        <v>7</v>
      </c>
      <c r="D106" s="98"/>
      <c r="E106" s="99"/>
      <c r="F106" s="103" t="s">
        <v>123</v>
      </c>
      <c r="G106" s="103"/>
      <c r="H106" s="103"/>
      <c r="I106" s="103"/>
      <c r="J106" s="103"/>
      <c r="K106" s="103"/>
      <c r="M106" s="60" t="s">
        <v>11</v>
      </c>
      <c r="N106" s="59" t="s">
        <v>12</v>
      </c>
      <c r="O106" s="59" t="s">
        <v>13</v>
      </c>
      <c r="P106" s="76" t="s">
        <v>14</v>
      </c>
    </row>
    <row r="107" spans="3:16" ht="21" customHeight="1">
      <c r="C107" s="93" t="s">
        <v>124</v>
      </c>
      <c r="D107" s="93"/>
      <c r="E107" s="93"/>
      <c r="F107" s="103"/>
      <c r="G107" s="103"/>
      <c r="H107" s="103"/>
      <c r="I107" s="103"/>
      <c r="J107" s="103"/>
      <c r="K107" s="103"/>
      <c r="M107" s="71"/>
      <c r="N107" s="71"/>
      <c r="O107" s="51"/>
      <c r="P107" s="52"/>
    </row>
    <row r="108" spans="3:16" ht="21" customHeight="1">
      <c r="C108" s="93" t="s">
        <v>124</v>
      </c>
      <c r="D108" s="93"/>
      <c r="E108" s="93"/>
      <c r="F108" s="103"/>
      <c r="G108" s="103"/>
      <c r="H108" s="103"/>
      <c r="I108" s="103"/>
      <c r="J108" s="103"/>
      <c r="K108" s="103"/>
      <c r="M108" s="71"/>
      <c r="N108" s="71"/>
      <c r="O108" s="51"/>
      <c r="P108" s="52"/>
    </row>
    <row r="109" spans="3:16" ht="21" customHeight="1">
      <c r="C109" s="93" t="s">
        <v>124</v>
      </c>
      <c r="D109" s="93"/>
      <c r="E109" s="93"/>
      <c r="F109" s="103"/>
      <c r="G109" s="103"/>
      <c r="H109" s="103"/>
      <c r="I109" s="103"/>
      <c r="J109" s="103"/>
      <c r="K109" s="103"/>
      <c r="M109" s="71"/>
      <c r="N109" s="71"/>
      <c r="O109" s="51"/>
      <c r="P109" s="52"/>
    </row>
    <row r="110" spans="3:16" ht="21" customHeight="1">
      <c r="C110" s="97" t="s">
        <v>125</v>
      </c>
      <c r="D110" s="97"/>
      <c r="E110" s="97"/>
      <c r="F110" s="97"/>
      <c r="G110" s="97"/>
      <c r="H110" s="97"/>
      <c r="I110" s="97"/>
      <c r="J110" s="97"/>
      <c r="K110" s="97"/>
      <c r="M110" s="83" t="s">
        <v>125</v>
      </c>
      <c r="N110" s="83"/>
      <c r="O110" s="83"/>
      <c r="P110" s="83"/>
    </row>
    <row r="111" spans="3:16" s="1" customFormat="1" ht="33.75" customHeight="1">
      <c r="C111" s="84" t="s">
        <v>126</v>
      </c>
      <c r="D111" s="84"/>
      <c r="E111" s="84"/>
      <c r="F111" s="84"/>
      <c r="G111" s="84"/>
      <c r="H111" s="84"/>
      <c r="I111" s="84"/>
      <c r="J111" s="84"/>
      <c r="K111" s="84"/>
      <c r="L111" s="84"/>
      <c r="M111" s="84"/>
      <c r="N111" s="84"/>
      <c r="O111" s="84"/>
      <c r="P111" s="84"/>
    </row>
    <row r="112" spans="3:16" ht="30" customHeight="1">
      <c r="C112" s="98" t="s">
        <v>7</v>
      </c>
      <c r="D112" s="98"/>
      <c r="E112" s="99"/>
      <c r="F112" s="98" t="s">
        <v>127</v>
      </c>
      <c r="G112" s="98"/>
      <c r="H112" s="98"/>
      <c r="I112" s="98"/>
      <c r="J112" s="98"/>
      <c r="K112" s="98"/>
      <c r="M112" s="59" t="s">
        <v>11</v>
      </c>
      <c r="N112" s="59" t="s">
        <v>12</v>
      </c>
      <c r="O112" s="59" t="s">
        <v>13</v>
      </c>
      <c r="P112" s="76" t="s">
        <v>14</v>
      </c>
    </row>
    <row r="113" spans="3:16" ht="21" customHeight="1">
      <c r="C113" s="93" t="s">
        <v>128</v>
      </c>
      <c r="D113" s="93"/>
      <c r="E113" s="93"/>
      <c r="F113" s="100"/>
      <c r="G113" s="100"/>
      <c r="H113" s="100"/>
      <c r="I113" s="100"/>
      <c r="J113" s="100"/>
      <c r="K113" s="100"/>
      <c r="M113" s="71"/>
      <c r="N113" s="71"/>
      <c r="O113" s="51"/>
      <c r="P113" s="52"/>
    </row>
    <row r="114" spans="3:16" ht="21" customHeight="1">
      <c r="C114" s="93" t="s">
        <v>128</v>
      </c>
      <c r="D114" s="93"/>
      <c r="E114" s="93"/>
      <c r="F114" s="100"/>
      <c r="G114" s="100"/>
      <c r="H114" s="100"/>
      <c r="I114" s="100"/>
      <c r="J114" s="100"/>
      <c r="K114" s="100"/>
      <c r="M114" s="71"/>
      <c r="N114" s="71"/>
      <c r="O114" s="51"/>
      <c r="P114" s="52"/>
    </row>
    <row r="115" spans="3:16" ht="21" customHeight="1">
      <c r="C115" s="93" t="s">
        <v>128</v>
      </c>
      <c r="D115" s="93"/>
      <c r="E115" s="93"/>
      <c r="F115" s="100"/>
      <c r="G115" s="100"/>
      <c r="H115" s="100"/>
      <c r="I115" s="100"/>
      <c r="J115" s="100"/>
      <c r="K115" s="100"/>
      <c r="M115" s="71"/>
      <c r="N115" s="71"/>
      <c r="O115" s="51"/>
      <c r="P115" s="52"/>
    </row>
  </sheetData>
  <mergeCells count="140">
    <mergeCell ref="C6:E6"/>
    <mergeCell ref="C7:E7"/>
    <mergeCell ref="C8:E8"/>
    <mergeCell ref="C9:E9"/>
    <mergeCell ref="C10:K10"/>
    <mergeCell ref="M10:P10"/>
    <mergeCell ref="C1:K1"/>
    <mergeCell ref="C3:K3"/>
    <mergeCell ref="M3:P3"/>
    <mergeCell ref="C4:K4"/>
    <mergeCell ref="M4:P4"/>
    <mergeCell ref="C5:K5"/>
    <mergeCell ref="M5:P5"/>
    <mergeCell ref="C16:E16"/>
    <mergeCell ref="C17:E17"/>
    <mergeCell ref="C18:E18"/>
    <mergeCell ref="C19:K19"/>
    <mergeCell ref="M19:P19"/>
    <mergeCell ref="C20:K20"/>
    <mergeCell ref="M20:P20"/>
    <mergeCell ref="C11:E11"/>
    <mergeCell ref="C12:K12"/>
    <mergeCell ref="M12:P12"/>
    <mergeCell ref="C13:E13"/>
    <mergeCell ref="C14:E14"/>
    <mergeCell ref="C15:E15"/>
    <mergeCell ref="M25:P25"/>
    <mergeCell ref="C26:K26"/>
    <mergeCell ref="M26:P26"/>
    <mergeCell ref="C27:E27"/>
    <mergeCell ref="C28:E28"/>
    <mergeCell ref="C29:E29"/>
    <mergeCell ref="C21:E21"/>
    <mergeCell ref="C22:E22"/>
    <mergeCell ref="C23:E23"/>
    <mergeCell ref="J23:K23"/>
    <mergeCell ref="C24:E24"/>
    <mergeCell ref="C25:K25"/>
    <mergeCell ref="C36:E36"/>
    <mergeCell ref="C37:E37"/>
    <mergeCell ref="C38:E38"/>
    <mergeCell ref="C39:E39"/>
    <mergeCell ref="C40:E40"/>
    <mergeCell ref="C41:K41"/>
    <mergeCell ref="C30:E30"/>
    <mergeCell ref="C31:E31"/>
    <mergeCell ref="C32:E32"/>
    <mergeCell ref="C33:E33"/>
    <mergeCell ref="C34:E34"/>
    <mergeCell ref="C35:E35"/>
    <mergeCell ref="M54:P54"/>
    <mergeCell ref="C45:E45"/>
    <mergeCell ref="C46:E46"/>
    <mergeCell ref="C47:E47"/>
    <mergeCell ref="J47:K47"/>
    <mergeCell ref="C48:E48"/>
    <mergeCell ref="C49:E49"/>
    <mergeCell ref="M41:P41"/>
    <mergeCell ref="C42:K42"/>
    <mergeCell ref="M42:P42"/>
    <mergeCell ref="C43:K43"/>
    <mergeCell ref="M43:P43"/>
    <mergeCell ref="C44:E44"/>
    <mergeCell ref="C55:E55"/>
    <mergeCell ref="C56:E56"/>
    <mergeCell ref="C57:E57"/>
    <mergeCell ref="J57:K57"/>
    <mergeCell ref="C58:E58"/>
    <mergeCell ref="C59:E59"/>
    <mergeCell ref="C50:E50"/>
    <mergeCell ref="C51:E51"/>
    <mergeCell ref="C52:E52"/>
    <mergeCell ref="C53:E53"/>
    <mergeCell ref="C54:K54"/>
    <mergeCell ref="G66:H66"/>
    <mergeCell ref="G67:H67"/>
    <mergeCell ref="G68:H68"/>
    <mergeCell ref="G69:H69"/>
    <mergeCell ref="D71:E71"/>
    <mergeCell ref="D72:E72"/>
    <mergeCell ref="C60:E60"/>
    <mergeCell ref="C61:E61"/>
    <mergeCell ref="C62:E62"/>
    <mergeCell ref="C63:E63"/>
    <mergeCell ref="C64:K64"/>
    <mergeCell ref="C65:G65"/>
    <mergeCell ref="D73:E73"/>
    <mergeCell ref="C76:K76"/>
    <mergeCell ref="C80:K80"/>
    <mergeCell ref="M80:P80"/>
    <mergeCell ref="C81:P81"/>
    <mergeCell ref="C82:E82"/>
    <mergeCell ref="F82:K85"/>
    <mergeCell ref="C83:E83"/>
    <mergeCell ref="C84:E84"/>
    <mergeCell ref="C85:E85"/>
    <mergeCell ref="C93:K93"/>
    <mergeCell ref="M93:P93"/>
    <mergeCell ref="C94:E94"/>
    <mergeCell ref="F94:K97"/>
    <mergeCell ref="C95:E95"/>
    <mergeCell ref="C96:E96"/>
    <mergeCell ref="C97:E97"/>
    <mergeCell ref="C86:K86"/>
    <mergeCell ref="M86:P86"/>
    <mergeCell ref="C87:P87"/>
    <mergeCell ref="C88:K88"/>
    <mergeCell ref="M88:P88"/>
    <mergeCell ref="C89:E89"/>
    <mergeCell ref="F89:K92"/>
    <mergeCell ref="C90:E90"/>
    <mergeCell ref="C91:E91"/>
    <mergeCell ref="C92:E92"/>
    <mergeCell ref="C104:K104"/>
    <mergeCell ref="M104:P104"/>
    <mergeCell ref="C105:P105"/>
    <mergeCell ref="C106:E106"/>
    <mergeCell ref="F106:K109"/>
    <mergeCell ref="C107:E107"/>
    <mergeCell ref="C108:E108"/>
    <mergeCell ref="C109:E109"/>
    <mergeCell ref="C98:K98"/>
    <mergeCell ref="M98:P98"/>
    <mergeCell ref="C99:P99"/>
    <mergeCell ref="C100:E100"/>
    <mergeCell ref="F100:K103"/>
    <mergeCell ref="C101:E101"/>
    <mergeCell ref="C102:E102"/>
    <mergeCell ref="C103:E103"/>
    <mergeCell ref="C114:E114"/>
    <mergeCell ref="F114:K114"/>
    <mergeCell ref="C115:E115"/>
    <mergeCell ref="F115:K115"/>
    <mergeCell ref="C110:K110"/>
    <mergeCell ref="M110:P110"/>
    <mergeCell ref="C111:P111"/>
    <mergeCell ref="C112:E112"/>
    <mergeCell ref="F112:K112"/>
    <mergeCell ref="C113:E113"/>
    <mergeCell ref="F113:K113"/>
  </mergeCells>
  <conditionalFormatting sqref="M7:O9 M56:O63">
    <cfRule type="cellIs" dxfId="71" priority="34" operator="equal">
      <formula>"N/A"</formula>
    </cfRule>
    <cfRule type="cellIs" dxfId="70" priority="35" operator="equal">
      <formula>"Yes"</formula>
    </cfRule>
    <cfRule type="cellIs" dxfId="69" priority="36" operator="equal">
      <formula>"No"</formula>
    </cfRule>
  </conditionalFormatting>
  <conditionalFormatting sqref="M11:O11">
    <cfRule type="cellIs" dxfId="68" priority="31" operator="equal">
      <formula>"N/A"</formula>
    </cfRule>
    <cfRule type="cellIs" dxfId="67" priority="32" operator="equal">
      <formula>"Yes"</formula>
    </cfRule>
    <cfRule type="cellIs" dxfId="66" priority="33" operator="equal">
      <formula>"No"</formula>
    </cfRule>
  </conditionalFormatting>
  <conditionalFormatting sqref="M13:O18">
    <cfRule type="cellIs" dxfId="65" priority="28" operator="equal">
      <formula>"N/A"</formula>
    </cfRule>
    <cfRule type="cellIs" dxfId="64" priority="29" operator="equal">
      <formula>"Yes"</formula>
    </cfRule>
    <cfRule type="cellIs" dxfId="63" priority="30" operator="equal">
      <formula>"No"</formula>
    </cfRule>
  </conditionalFormatting>
  <conditionalFormatting sqref="M22:O24">
    <cfRule type="cellIs" dxfId="62" priority="25" operator="equal">
      <formula>"N/A"</formula>
    </cfRule>
    <cfRule type="cellIs" dxfId="61" priority="26" operator="equal">
      <formula>"Yes"</formula>
    </cfRule>
    <cfRule type="cellIs" dxfId="60" priority="27" operator="equal">
      <formula>"No"</formula>
    </cfRule>
  </conditionalFormatting>
  <conditionalFormatting sqref="M28:O40">
    <cfRule type="cellIs" dxfId="59" priority="22" operator="equal">
      <formula>"N/A"</formula>
    </cfRule>
    <cfRule type="cellIs" dxfId="58" priority="23" operator="equal">
      <formula>"Yes"</formula>
    </cfRule>
    <cfRule type="cellIs" dxfId="57" priority="24" operator="equal">
      <formula>"No"</formula>
    </cfRule>
  </conditionalFormatting>
  <conditionalFormatting sqref="M45:O53">
    <cfRule type="cellIs" dxfId="56" priority="19" operator="equal">
      <formula>"N/A"</formula>
    </cfRule>
    <cfRule type="cellIs" dxfId="55" priority="20" operator="equal">
      <formula>"Yes"</formula>
    </cfRule>
    <cfRule type="cellIs" dxfId="54" priority="21" operator="equal">
      <formula>"No"</formula>
    </cfRule>
  </conditionalFormatting>
  <conditionalFormatting sqref="M83:O85">
    <cfRule type="cellIs" dxfId="53" priority="16" operator="equal">
      <formula>"N/A"</formula>
    </cfRule>
    <cfRule type="cellIs" dxfId="52" priority="17" operator="equal">
      <formula>"Yes"</formula>
    </cfRule>
    <cfRule type="cellIs" dxfId="51" priority="18" operator="equal">
      <formula>"No"</formula>
    </cfRule>
  </conditionalFormatting>
  <conditionalFormatting sqref="M90:O92">
    <cfRule type="cellIs" dxfId="50" priority="13" operator="equal">
      <formula>"N/A"</formula>
    </cfRule>
    <cfRule type="cellIs" dxfId="49" priority="14" operator="equal">
      <formula>"Yes"</formula>
    </cfRule>
    <cfRule type="cellIs" dxfId="48" priority="15" operator="equal">
      <formula>"No"</formula>
    </cfRule>
  </conditionalFormatting>
  <conditionalFormatting sqref="M95:O97">
    <cfRule type="cellIs" dxfId="47" priority="10" operator="equal">
      <formula>"N/A"</formula>
    </cfRule>
    <cfRule type="cellIs" dxfId="46" priority="11" operator="equal">
      <formula>"Yes"</formula>
    </cfRule>
    <cfRule type="cellIs" dxfId="45" priority="12" operator="equal">
      <formula>"No"</formula>
    </cfRule>
  </conditionalFormatting>
  <conditionalFormatting sqref="M101:O103">
    <cfRule type="cellIs" dxfId="44" priority="7" operator="equal">
      <formula>"N/A"</formula>
    </cfRule>
    <cfRule type="cellIs" dxfId="43" priority="8" operator="equal">
      <formula>"Yes"</formula>
    </cfRule>
    <cfRule type="cellIs" dxfId="42" priority="9" operator="equal">
      <formula>"No"</formula>
    </cfRule>
  </conditionalFormatting>
  <conditionalFormatting sqref="M107:O109">
    <cfRule type="cellIs" dxfId="41" priority="4" operator="equal">
      <formula>"N/A"</formula>
    </cfRule>
    <cfRule type="cellIs" dxfId="40" priority="5" operator="equal">
      <formula>"Yes"</formula>
    </cfRule>
    <cfRule type="cellIs" dxfId="39" priority="6" operator="equal">
      <formula>"No"</formula>
    </cfRule>
  </conditionalFormatting>
  <conditionalFormatting sqref="M113:O115">
    <cfRule type="cellIs" dxfId="38" priority="1" operator="equal">
      <formula>"N/A"</formula>
    </cfRule>
    <cfRule type="cellIs" dxfId="37" priority="2" operator="equal">
      <formula>"Yes"</formula>
    </cfRule>
    <cfRule type="cellIs" dxfId="36" priority="3" operator="equal">
      <formula>"No"</formula>
    </cfRule>
  </conditionalFormatting>
  <dataValidations count="1">
    <dataValidation type="list" allowBlank="1" showErrorMessage="1" sqref="M7:O9 M11:O11 M13:O18 M22:O24 M28:O40 M56:O63 M83:O85 M90:O92 M95:O97 M101:O103 M107:O109 M113:O115 M45:O53" xr:uid="{354BC474-32DB-4B52-89D9-313737330A62}">
      <formula1>"Yes,No,N/A"</formula1>
    </dataValidation>
  </dataValidations>
  <pageMargins left="0.7" right="0.7" top="0.75" bottom="0.75" header="0.3" footer="0.3"/>
  <pageSetup paperSize="3" scale="65" fitToHeight="0" orientation="landscape" r:id="rId1"/>
  <rowBreaks count="4" manualBreakCount="4">
    <brk id="24" max="15" man="1"/>
    <brk id="40" max="15" man="1"/>
    <brk id="79" max="20" man="1"/>
    <brk id="103" max="1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30AE7-4C21-4A99-B1A2-F5537E9753BE}">
  <sheetPr codeName="Sheet4">
    <pageSetUpPr fitToPage="1"/>
  </sheetPr>
  <dimension ref="A1:P115"/>
  <sheetViews>
    <sheetView showGridLines="0" tabSelected="1" topLeftCell="B42" zoomScale="80" zoomScaleNormal="80" zoomScaleSheetLayoutView="70" zoomScalePageLayoutView="70" workbookViewId="0">
      <selection activeCell="C45" sqref="C45:H47"/>
      <extLst>
        <ext xmlns:xlsdti="http://schemas.microsoft.com/office/spreadsheetml/2023/showDataTypeIcons" uri="{77bfe23e-c014-4d31-8a63-9c772dbf06b6}">
          <xlsdti:showDataTypeIcons visible="0"/>
        </ext>
      </extLst>
    </sheetView>
  </sheetViews>
  <sheetFormatPr defaultColWidth="8.85546875" defaultRowHeight="15"/>
  <cols>
    <col min="1" max="1" width="8.85546875" style="2" hidden="1" customWidth="1"/>
    <col min="2" max="2" width="3" style="2" customWidth="1"/>
    <col min="3" max="3" width="26.42578125" style="2" bestFit="1" customWidth="1"/>
    <col min="4" max="4" width="5.5703125" style="2" customWidth="1"/>
    <col min="5" max="5" width="9.140625" style="2" customWidth="1"/>
    <col min="6" max="6" width="16.7109375" style="2" bestFit="1" customWidth="1"/>
    <col min="7" max="7" width="17.140625" style="2" customWidth="1"/>
    <col min="8" max="8" width="15.7109375" style="2" customWidth="1"/>
    <col min="9" max="9" width="21.5703125" style="2" bestFit="1" customWidth="1"/>
    <col min="10" max="10" width="21.7109375" style="2" bestFit="1" customWidth="1"/>
    <col min="11" max="11" width="15.7109375" style="2" customWidth="1"/>
    <col min="12" max="12" width="3.28515625" style="2" customWidth="1"/>
    <col min="13" max="13" width="15.7109375" style="2" bestFit="1" customWidth="1"/>
    <col min="14" max="14" width="21.42578125" style="2" bestFit="1" customWidth="1"/>
    <col min="15" max="15" width="26.140625" style="2" customWidth="1"/>
    <col min="16" max="16" width="84" style="2" customWidth="1"/>
    <col min="17" max="16384" width="8.85546875" style="2"/>
  </cols>
  <sheetData>
    <row r="1" spans="3:16" ht="21" customHeight="1">
      <c r="C1" s="99" t="s">
        <v>0</v>
      </c>
      <c r="D1" s="99"/>
      <c r="E1" s="99"/>
      <c r="F1" s="99"/>
      <c r="G1" s="99"/>
      <c r="H1" s="99"/>
      <c r="I1" s="99"/>
      <c r="J1" s="99"/>
      <c r="K1" s="99"/>
      <c r="M1" s="5"/>
      <c r="N1" s="6" t="s">
        <v>1</v>
      </c>
      <c r="O1" s="7"/>
      <c r="P1" s="7"/>
    </row>
    <row r="2" spans="3:16" ht="21" customHeight="1">
      <c r="C2" s="1"/>
      <c r="D2" s="1"/>
      <c r="E2" s="1"/>
      <c r="F2" s="1"/>
      <c r="G2" s="1"/>
      <c r="H2" s="1"/>
      <c r="I2" s="1"/>
      <c r="J2" s="1"/>
      <c r="K2" s="1"/>
      <c r="M2" s="12"/>
      <c r="N2" s="6" t="s">
        <v>2</v>
      </c>
      <c r="O2" s="7"/>
      <c r="P2" s="7"/>
    </row>
    <row r="3" spans="3:16" s="1" customFormat="1" ht="21" customHeight="1">
      <c r="C3" s="97" t="s">
        <v>3</v>
      </c>
      <c r="D3" s="97"/>
      <c r="E3" s="97"/>
      <c r="F3" s="97"/>
      <c r="G3" s="97"/>
      <c r="H3" s="97"/>
      <c r="I3" s="97"/>
      <c r="J3" s="97"/>
      <c r="K3" s="97"/>
      <c r="M3" s="97" t="s">
        <v>3</v>
      </c>
      <c r="N3" s="97"/>
      <c r="O3" s="97"/>
      <c r="P3" s="97"/>
    </row>
    <row r="4" spans="3:16" s="1" customFormat="1" ht="300.75" customHeight="1">
      <c r="C4" s="89" t="s">
        <v>4</v>
      </c>
      <c r="D4" s="89"/>
      <c r="E4" s="89"/>
      <c r="F4" s="89"/>
      <c r="G4" s="89"/>
      <c r="H4" s="89"/>
      <c r="I4" s="89"/>
      <c r="J4" s="89"/>
      <c r="K4" s="89"/>
      <c r="M4" s="89" t="s">
        <v>5</v>
      </c>
      <c r="N4" s="89"/>
      <c r="O4" s="89"/>
      <c r="P4" s="89"/>
    </row>
    <row r="5" spans="3:16" s="1" customFormat="1" ht="21" customHeight="1">
      <c r="C5" s="97" t="s">
        <v>6</v>
      </c>
      <c r="D5" s="97"/>
      <c r="E5" s="97"/>
      <c r="F5" s="97"/>
      <c r="G5" s="97"/>
      <c r="H5" s="97"/>
      <c r="I5" s="97"/>
      <c r="J5" s="97"/>
      <c r="K5" s="97"/>
      <c r="M5" s="88" t="s">
        <v>6</v>
      </c>
      <c r="N5" s="88"/>
      <c r="O5" s="88"/>
      <c r="P5" s="88"/>
    </row>
    <row r="6" spans="3:16" ht="28.5">
      <c r="C6" s="98" t="s">
        <v>7</v>
      </c>
      <c r="D6" s="98"/>
      <c r="E6" s="99"/>
      <c r="F6" s="4" t="s">
        <v>8</v>
      </c>
      <c r="G6" s="4" t="s">
        <v>9</v>
      </c>
      <c r="H6" s="4" t="s">
        <v>10</v>
      </c>
      <c r="M6" s="59" t="s">
        <v>11</v>
      </c>
      <c r="N6" s="59" t="s">
        <v>12</v>
      </c>
      <c r="O6" s="59" t="s">
        <v>13</v>
      </c>
      <c r="P6" s="76" t="s">
        <v>14</v>
      </c>
    </row>
    <row r="7" spans="3:16" ht="21" customHeight="1">
      <c r="C7" s="110" t="s">
        <v>15</v>
      </c>
      <c r="D7" s="111"/>
      <c r="E7" s="112"/>
      <c r="F7" s="8">
        <v>3.15</v>
      </c>
      <c r="G7" s="9">
        <f>H7/(F7*62.4)</f>
        <v>1.1294261294261294</v>
      </c>
      <c r="H7" s="10">
        <v>222</v>
      </c>
      <c r="I7" s="11" t="s">
        <v>16</v>
      </c>
      <c r="J7" s="5">
        <f>H7</f>
        <v>222</v>
      </c>
      <c r="K7" s="2" t="s">
        <v>17</v>
      </c>
      <c r="M7" s="68" t="s">
        <v>44</v>
      </c>
      <c r="N7" s="69"/>
      <c r="O7" s="61"/>
      <c r="P7" s="62"/>
    </row>
    <row r="8" spans="3:16" ht="21" customHeight="1">
      <c r="C8" s="110" t="s">
        <v>18</v>
      </c>
      <c r="D8" s="111"/>
      <c r="E8" s="112"/>
      <c r="F8" s="8"/>
      <c r="G8" s="9"/>
      <c r="H8" s="10"/>
      <c r="M8" s="70"/>
      <c r="N8" s="71"/>
      <c r="O8" s="51"/>
      <c r="P8" s="63"/>
    </row>
    <row r="9" spans="3:16" ht="21" customHeight="1">
      <c r="C9" s="110" t="s">
        <v>18</v>
      </c>
      <c r="D9" s="111"/>
      <c r="E9" s="112"/>
      <c r="F9" s="8"/>
      <c r="G9" s="9"/>
      <c r="H9" s="10"/>
      <c r="M9" s="72"/>
      <c r="N9" s="73"/>
      <c r="O9" s="64"/>
      <c r="P9" s="65"/>
    </row>
    <row r="10" spans="3:16" ht="21" customHeight="1">
      <c r="C10" s="97" t="s">
        <v>19</v>
      </c>
      <c r="D10" s="97"/>
      <c r="E10" s="97"/>
      <c r="F10" s="97"/>
      <c r="G10" s="97"/>
      <c r="H10" s="97"/>
      <c r="I10" s="97"/>
      <c r="J10" s="97"/>
      <c r="K10" s="97"/>
      <c r="M10" s="86" t="s">
        <v>19</v>
      </c>
      <c r="N10" s="86"/>
      <c r="O10" s="86"/>
      <c r="P10" s="86"/>
    </row>
    <row r="11" spans="3:16" ht="21" customHeight="1">
      <c r="C11" s="90" t="s">
        <v>20</v>
      </c>
      <c r="D11" s="91"/>
      <c r="E11" s="92"/>
      <c r="F11" s="8"/>
      <c r="G11" s="9"/>
      <c r="H11" s="10"/>
      <c r="I11" s="11"/>
      <c r="J11" s="13"/>
      <c r="M11" s="74"/>
      <c r="N11" s="75"/>
      <c r="O11" s="66"/>
      <c r="P11" s="67"/>
    </row>
    <row r="12" spans="3:16" ht="21" customHeight="1">
      <c r="C12" s="97" t="s">
        <v>21</v>
      </c>
      <c r="D12" s="97"/>
      <c r="E12" s="97"/>
      <c r="F12" s="97"/>
      <c r="G12" s="97"/>
      <c r="H12" s="97"/>
      <c r="I12" s="97"/>
      <c r="J12" s="97"/>
      <c r="K12" s="97"/>
      <c r="M12" s="86" t="s">
        <v>21</v>
      </c>
      <c r="N12" s="86"/>
      <c r="O12" s="86"/>
      <c r="P12" s="86"/>
    </row>
    <row r="13" spans="3:16" ht="21" customHeight="1">
      <c r="C13" s="110" t="s">
        <v>22</v>
      </c>
      <c r="D13" s="111"/>
      <c r="E13" s="112"/>
      <c r="F13" s="8">
        <v>2.3199999999999998</v>
      </c>
      <c r="G13" s="9">
        <f>H13/(F13*62.4)</f>
        <v>2.3485853227232538</v>
      </c>
      <c r="H13" s="10">
        <v>340</v>
      </c>
      <c r="I13" s="11" t="s">
        <v>23</v>
      </c>
      <c r="J13" s="5">
        <f>SUM(H13:H18)</f>
        <v>560</v>
      </c>
      <c r="K13" s="2" t="s">
        <v>17</v>
      </c>
      <c r="M13" s="68" t="s">
        <v>44</v>
      </c>
      <c r="N13" s="69"/>
      <c r="O13" s="61"/>
      <c r="P13" s="62"/>
    </row>
    <row r="14" spans="3:16" ht="21" customHeight="1">
      <c r="C14" s="110" t="s">
        <v>24</v>
      </c>
      <c r="D14" s="111"/>
      <c r="E14" s="112"/>
      <c r="F14" s="8">
        <v>3</v>
      </c>
      <c r="G14" s="9">
        <f>H14/(F14*62.4)</f>
        <v>1.1752136752136753</v>
      </c>
      <c r="H14" s="10">
        <v>220</v>
      </c>
      <c r="I14" s="11" t="s">
        <v>25</v>
      </c>
      <c r="J14" s="5">
        <f>J7/J13</f>
        <v>0.39642857142857141</v>
      </c>
      <c r="M14" s="70" t="s">
        <v>44</v>
      </c>
      <c r="N14" s="71"/>
      <c r="O14" s="51"/>
      <c r="P14" s="63"/>
    </row>
    <row r="15" spans="3:16" ht="21" customHeight="1">
      <c r="C15" s="110" t="s">
        <v>21</v>
      </c>
      <c r="D15" s="111"/>
      <c r="E15" s="112"/>
      <c r="F15" s="8"/>
      <c r="G15" s="9"/>
      <c r="H15" s="10"/>
      <c r="I15" s="11" t="s">
        <v>26</v>
      </c>
      <c r="J15" s="5">
        <f>H11/SUM(H13:H18)</f>
        <v>0</v>
      </c>
      <c r="M15" s="70"/>
      <c r="N15" s="71"/>
      <c r="O15" s="51"/>
      <c r="P15" s="63"/>
    </row>
    <row r="16" spans="3:16" ht="21" customHeight="1">
      <c r="C16" s="110" t="s">
        <v>21</v>
      </c>
      <c r="D16" s="111"/>
      <c r="E16" s="112"/>
      <c r="F16" s="8"/>
      <c r="G16" s="9"/>
      <c r="H16" s="10"/>
      <c r="J16" s="13"/>
      <c r="M16" s="70"/>
      <c r="N16" s="71"/>
      <c r="O16" s="51"/>
      <c r="P16" s="63"/>
    </row>
    <row r="17" spans="1:16" ht="21" customHeight="1">
      <c r="C17" s="110" t="s">
        <v>21</v>
      </c>
      <c r="D17" s="111"/>
      <c r="E17" s="112"/>
      <c r="F17" s="8"/>
      <c r="G17" s="9"/>
      <c r="H17" s="10"/>
      <c r="I17" s="11" t="s">
        <v>27</v>
      </c>
      <c r="J17" s="5">
        <f>J13/100</f>
        <v>5.6</v>
      </c>
      <c r="M17" s="70"/>
      <c r="N17" s="71"/>
      <c r="O17" s="51"/>
      <c r="P17" s="63"/>
    </row>
    <row r="18" spans="1:16" ht="21" customHeight="1">
      <c r="C18" s="90" t="s">
        <v>21</v>
      </c>
      <c r="D18" s="91"/>
      <c r="E18" s="92"/>
      <c r="F18" s="8"/>
      <c r="G18" s="9"/>
      <c r="H18" s="10"/>
      <c r="M18" s="72"/>
      <c r="N18" s="73"/>
      <c r="O18" s="64"/>
      <c r="P18" s="65"/>
    </row>
    <row r="19" spans="1:16" s="1" customFormat="1" ht="21" customHeight="1">
      <c r="C19" s="97" t="s">
        <v>28</v>
      </c>
      <c r="D19" s="97"/>
      <c r="E19" s="97"/>
      <c r="F19" s="97"/>
      <c r="G19" s="97"/>
      <c r="H19" s="97"/>
      <c r="I19" s="97"/>
      <c r="J19" s="97"/>
      <c r="K19" s="97"/>
      <c r="M19" s="87" t="s">
        <v>28</v>
      </c>
      <c r="N19" s="87"/>
      <c r="O19" s="87"/>
      <c r="P19" s="87"/>
    </row>
    <row r="20" spans="1:16" s="1" customFormat="1" ht="60.75" customHeight="1">
      <c r="C20" s="89" t="s">
        <v>29</v>
      </c>
      <c r="D20" s="89"/>
      <c r="E20" s="89"/>
      <c r="F20" s="89"/>
      <c r="G20" s="89"/>
      <c r="H20" s="89"/>
      <c r="I20" s="89"/>
      <c r="J20" s="89"/>
      <c r="K20" s="89"/>
      <c r="M20" s="94" t="s">
        <v>30</v>
      </c>
      <c r="N20" s="94"/>
      <c r="O20" s="94"/>
      <c r="P20" s="94"/>
    </row>
    <row r="21" spans="1:16" ht="30" customHeight="1">
      <c r="C21" s="98" t="s">
        <v>7</v>
      </c>
      <c r="D21" s="98"/>
      <c r="E21" s="99"/>
      <c r="F21" s="14" t="s">
        <v>8</v>
      </c>
      <c r="G21" s="14" t="s">
        <v>9</v>
      </c>
      <c r="H21" s="14" t="s">
        <v>31</v>
      </c>
      <c r="M21" s="59" t="s">
        <v>11</v>
      </c>
      <c r="N21" s="59" t="s">
        <v>12</v>
      </c>
      <c r="O21" s="59" t="s">
        <v>13</v>
      </c>
      <c r="P21" s="76" t="s">
        <v>14</v>
      </c>
    </row>
    <row r="22" spans="1:16" ht="21" customHeight="1">
      <c r="C22" s="110" t="s">
        <v>32</v>
      </c>
      <c r="D22" s="111"/>
      <c r="E22" s="112"/>
      <c r="F22" s="15">
        <v>0.91</v>
      </c>
      <c r="G22" s="16">
        <f>H22/(F22*62.4)</f>
        <v>8.8052972668357279E-2</v>
      </c>
      <c r="H22" s="15">
        <v>5</v>
      </c>
      <c r="M22" s="71"/>
      <c r="N22" s="71"/>
      <c r="O22" s="51"/>
      <c r="P22" s="52"/>
    </row>
    <row r="23" spans="1:16" ht="21" customHeight="1">
      <c r="C23" s="110" t="s">
        <v>33</v>
      </c>
      <c r="D23" s="111"/>
      <c r="E23" s="112"/>
      <c r="F23" s="8"/>
      <c r="G23" s="9"/>
      <c r="H23" s="8"/>
      <c r="J23" s="98" t="s">
        <v>34</v>
      </c>
      <c r="K23" s="106"/>
      <c r="M23" s="71"/>
      <c r="N23" s="71"/>
      <c r="O23" s="51"/>
      <c r="P23" s="52"/>
    </row>
    <row r="24" spans="1:16" ht="21" customHeight="1">
      <c r="C24" s="110" t="s">
        <v>33</v>
      </c>
      <c r="D24" s="111"/>
      <c r="E24" s="112"/>
      <c r="F24" s="8"/>
      <c r="G24" s="9"/>
      <c r="H24" s="8"/>
      <c r="J24" s="9">
        <f>SUM(H22:H24)</f>
        <v>5</v>
      </c>
      <c r="K24" s="2" t="s">
        <v>17</v>
      </c>
      <c r="M24" s="71"/>
      <c r="N24" s="71"/>
      <c r="O24" s="51"/>
      <c r="P24" s="52"/>
    </row>
    <row r="25" spans="1:16" s="1" customFormat="1" ht="21" customHeight="1">
      <c r="C25" s="97" t="s">
        <v>35</v>
      </c>
      <c r="D25" s="97"/>
      <c r="E25" s="97"/>
      <c r="F25" s="97"/>
      <c r="G25" s="97"/>
      <c r="H25" s="97"/>
      <c r="I25" s="97"/>
      <c r="J25" s="97"/>
      <c r="K25" s="97"/>
      <c r="M25" s="83" t="s">
        <v>35</v>
      </c>
      <c r="N25" s="83"/>
      <c r="O25" s="83"/>
      <c r="P25" s="83"/>
    </row>
    <row r="26" spans="1:16" s="1" customFormat="1" ht="122.25" customHeight="1">
      <c r="C26" s="89" t="s">
        <v>36</v>
      </c>
      <c r="D26" s="89"/>
      <c r="E26" s="89"/>
      <c r="F26" s="89"/>
      <c r="G26" s="89"/>
      <c r="H26" s="89"/>
      <c r="I26" s="89"/>
      <c r="J26" s="89"/>
      <c r="K26" s="89"/>
      <c r="M26" s="95" t="s">
        <v>37</v>
      </c>
      <c r="N26" s="95"/>
      <c r="O26" s="95"/>
      <c r="P26" s="95"/>
    </row>
    <row r="27" spans="1:16" ht="30" customHeight="1">
      <c r="C27" s="98" t="s">
        <v>38</v>
      </c>
      <c r="D27" s="98"/>
      <c r="E27" s="109"/>
      <c r="F27" s="14" t="s">
        <v>39</v>
      </c>
      <c r="G27" s="14" t="s">
        <v>40</v>
      </c>
      <c r="H27" s="14" t="s">
        <v>41</v>
      </c>
      <c r="I27" s="14" t="s">
        <v>42</v>
      </c>
      <c r="J27" s="14" t="s">
        <v>43</v>
      </c>
      <c r="K27" s="4" t="s">
        <v>9</v>
      </c>
      <c r="L27" s="4"/>
      <c r="M27" s="59" t="s">
        <v>11</v>
      </c>
      <c r="N27" s="59" t="s">
        <v>12</v>
      </c>
      <c r="O27" s="59" t="s">
        <v>13</v>
      </c>
      <c r="P27" s="76" t="s">
        <v>14</v>
      </c>
    </row>
    <row r="28" spans="1:16" ht="21" customHeight="1">
      <c r="A28" s="2" t="s">
        <v>44</v>
      </c>
      <c r="C28" s="90" t="s">
        <v>131</v>
      </c>
      <c r="D28" s="91"/>
      <c r="E28" s="92"/>
      <c r="F28" s="17">
        <v>24</v>
      </c>
      <c r="G28" s="18">
        <v>1.58</v>
      </c>
      <c r="H28" s="16">
        <f>G28*(F28/100)+G28</f>
        <v>1.9592000000000001</v>
      </c>
      <c r="I28" s="15">
        <v>212</v>
      </c>
      <c r="J28" s="16">
        <f>(I28*(F28/100))+I28</f>
        <v>262.88</v>
      </c>
      <c r="K28" s="16">
        <f>(I28/(G28*62.4))</f>
        <v>2.1502758844530998</v>
      </c>
      <c r="L28" s="19"/>
      <c r="M28" s="71"/>
      <c r="N28" s="71"/>
      <c r="O28" s="51"/>
      <c r="P28" s="52"/>
    </row>
    <row r="29" spans="1:16" ht="21" customHeight="1">
      <c r="A29" s="2" t="s">
        <v>46</v>
      </c>
      <c r="C29" s="90" t="s">
        <v>132</v>
      </c>
      <c r="D29" s="91"/>
      <c r="E29" s="92"/>
      <c r="F29" s="17">
        <v>32</v>
      </c>
      <c r="G29" s="18">
        <v>1.7</v>
      </c>
      <c r="H29" s="16">
        <f>G29*(F29/100)+G29</f>
        <v>2.2439999999999998</v>
      </c>
      <c r="I29" s="15">
        <v>180</v>
      </c>
      <c r="J29" s="16">
        <f t="shared" ref="J29:J40" si="0">(I29*(F29/100))+I29</f>
        <v>237.6</v>
      </c>
      <c r="K29" s="16">
        <f t="shared" ref="K29:K40" si="1">(I29/(G29*62.4))</f>
        <v>1.6968325791855203</v>
      </c>
      <c r="L29" s="19"/>
      <c r="M29" s="71"/>
      <c r="N29" s="71"/>
      <c r="O29" s="51"/>
      <c r="P29" s="52"/>
    </row>
    <row r="30" spans="1:16" ht="21" customHeight="1">
      <c r="C30" s="90" t="s">
        <v>49</v>
      </c>
      <c r="D30" s="91"/>
      <c r="E30" s="92"/>
      <c r="F30" s="17">
        <v>0</v>
      </c>
      <c r="G30" s="18">
        <v>0.08</v>
      </c>
      <c r="H30" s="16">
        <f t="shared" ref="H30:H31" si="2">G30*(F30/100)+G30</f>
        <v>0.08</v>
      </c>
      <c r="I30" s="15">
        <v>20</v>
      </c>
      <c r="J30" s="16">
        <f t="shared" si="0"/>
        <v>20</v>
      </c>
      <c r="K30" s="16">
        <f t="shared" si="1"/>
        <v>4.0064102564102564</v>
      </c>
      <c r="L30" s="19"/>
      <c r="M30" s="71" t="s">
        <v>44</v>
      </c>
      <c r="N30" s="71"/>
      <c r="O30" s="51"/>
      <c r="P30" s="52"/>
    </row>
    <row r="31" spans="1:16" ht="21" customHeight="1">
      <c r="C31" s="90" t="s">
        <v>48</v>
      </c>
      <c r="D31" s="91"/>
      <c r="E31" s="92"/>
      <c r="F31" s="17">
        <v>12</v>
      </c>
      <c r="G31" s="18">
        <f>18.5/62.4</f>
        <v>0.29647435897435898</v>
      </c>
      <c r="H31" s="16">
        <f t="shared" si="2"/>
        <v>0.33205128205128204</v>
      </c>
      <c r="I31" s="15">
        <v>200</v>
      </c>
      <c r="J31" s="16">
        <f t="shared" ref="J31" si="3">(I31*(F31/100))+I31</f>
        <v>224</v>
      </c>
      <c r="K31" s="16">
        <f t="shared" ref="K31" si="4">(I31/(G31*62.4))</f>
        <v>10.810810810810811</v>
      </c>
      <c r="L31" s="19"/>
      <c r="M31" s="71" t="s">
        <v>44</v>
      </c>
      <c r="N31" s="71"/>
      <c r="O31" s="51"/>
      <c r="P31" s="52"/>
    </row>
    <row r="32" spans="1:16" ht="21" customHeight="1">
      <c r="C32" s="90" t="s">
        <v>50</v>
      </c>
      <c r="D32" s="91"/>
      <c r="E32" s="92"/>
      <c r="F32" s="17"/>
      <c r="G32" s="18"/>
      <c r="H32" s="16"/>
      <c r="I32" s="15"/>
      <c r="J32" s="16"/>
      <c r="K32" s="16"/>
      <c r="L32" s="19"/>
      <c r="M32" s="71"/>
      <c r="N32" s="71"/>
      <c r="O32" s="51"/>
      <c r="P32" s="52"/>
    </row>
    <row r="33" spans="3:16" ht="21" customHeight="1">
      <c r="C33" s="90" t="s">
        <v>50</v>
      </c>
      <c r="D33" s="91"/>
      <c r="E33" s="92"/>
      <c r="F33" s="15"/>
      <c r="G33" s="15"/>
      <c r="H33" s="16"/>
      <c r="I33" s="15"/>
      <c r="J33" s="16"/>
      <c r="K33" s="16"/>
      <c r="L33" s="19"/>
      <c r="M33" s="71"/>
      <c r="N33" s="71"/>
      <c r="O33" s="51"/>
      <c r="P33" s="52"/>
    </row>
    <row r="34" spans="3:16" ht="21" customHeight="1">
      <c r="C34" s="90" t="s">
        <v>50</v>
      </c>
      <c r="D34" s="91"/>
      <c r="E34" s="92"/>
      <c r="F34" s="15"/>
      <c r="G34" s="15"/>
      <c r="H34" s="16"/>
      <c r="I34" s="15"/>
      <c r="J34" s="16"/>
      <c r="K34" s="16"/>
      <c r="L34" s="19"/>
      <c r="M34" s="71"/>
      <c r="N34" s="71"/>
      <c r="O34" s="51"/>
      <c r="P34" s="52"/>
    </row>
    <row r="35" spans="3:16" ht="21" customHeight="1">
      <c r="C35" s="90" t="s">
        <v>50</v>
      </c>
      <c r="D35" s="91"/>
      <c r="E35" s="92"/>
      <c r="F35" s="15"/>
      <c r="G35" s="15"/>
      <c r="H35" s="16"/>
      <c r="I35" s="15"/>
      <c r="J35" s="16"/>
      <c r="K35" s="16"/>
      <c r="L35" s="19"/>
      <c r="M35" s="71"/>
      <c r="N35" s="71"/>
      <c r="O35" s="51"/>
      <c r="P35" s="52"/>
    </row>
    <row r="36" spans="3:16" ht="21" customHeight="1">
      <c r="C36" s="90" t="s">
        <v>50</v>
      </c>
      <c r="D36" s="91"/>
      <c r="E36" s="92"/>
      <c r="F36" s="8"/>
      <c r="G36" s="8"/>
      <c r="H36" s="9"/>
      <c r="I36" s="8"/>
      <c r="J36" s="16"/>
      <c r="K36" s="16"/>
      <c r="L36" s="19"/>
      <c r="M36" s="71"/>
      <c r="N36" s="71"/>
      <c r="O36" s="51"/>
      <c r="P36" s="52"/>
    </row>
    <row r="37" spans="3:16" ht="21" customHeight="1">
      <c r="C37" s="90" t="s">
        <v>50</v>
      </c>
      <c r="D37" s="91"/>
      <c r="E37" s="92"/>
      <c r="F37" s="8"/>
      <c r="G37" s="8"/>
      <c r="H37" s="9"/>
      <c r="I37" s="8"/>
      <c r="J37" s="16"/>
      <c r="K37" s="16"/>
      <c r="L37" s="19"/>
      <c r="M37" s="71"/>
      <c r="N37" s="71"/>
      <c r="O37" s="51"/>
      <c r="P37" s="52"/>
    </row>
    <row r="38" spans="3:16" ht="21" customHeight="1">
      <c r="C38" s="90" t="s">
        <v>50</v>
      </c>
      <c r="D38" s="91"/>
      <c r="E38" s="92"/>
      <c r="F38" s="20"/>
      <c r="G38" s="20"/>
      <c r="H38" s="9"/>
      <c r="I38" s="20"/>
      <c r="J38" s="16"/>
      <c r="K38" s="16"/>
      <c r="L38" s="19"/>
      <c r="M38" s="71"/>
      <c r="N38" s="71"/>
      <c r="O38" s="51"/>
      <c r="P38" s="52"/>
    </row>
    <row r="39" spans="3:16" ht="21" customHeight="1">
      <c r="C39" s="90" t="s">
        <v>50</v>
      </c>
      <c r="D39" s="91"/>
      <c r="E39" s="92"/>
      <c r="F39" s="20"/>
      <c r="G39" s="20"/>
      <c r="H39" s="9"/>
      <c r="I39" s="20"/>
      <c r="J39" s="16"/>
      <c r="K39" s="16"/>
      <c r="L39" s="19"/>
      <c r="M39" s="71"/>
      <c r="N39" s="71"/>
      <c r="O39" s="51"/>
      <c r="P39" s="52"/>
    </row>
    <row r="40" spans="3:16" ht="21" customHeight="1">
      <c r="C40" s="90" t="s">
        <v>50</v>
      </c>
      <c r="D40" s="91"/>
      <c r="E40" s="92"/>
      <c r="F40" s="20"/>
      <c r="G40" s="20"/>
      <c r="H40" s="9"/>
      <c r="I40" s="20"/>
      <c r="J40" s="16"/>
      <c r="K40" s="16"/>
      <c r="L40" s="19"/>
      <c r="M40" s="71"/>
      <c r="N40" s="71"/>
      <c r="O40" s="51"/>
      <c r="P40" s="52"/>
    </row>
    <row r="41" spans="3:16" s="1" customFormat="1" ht="21" customHeight="1">
      <c r="C41" s="97" t="s">
        <v>51</v>
      </c>
      <c r="D41" s="97"/>
      <c r="E41" s="97"/>
      <c r="F41" s="97"/>
      <c r="G41" s="97"/>
      <c r="H41" s="97"/>
      <c r="I41" s="97"/>
      <c r="J41" s="97"/>
      <c r="K41" s="97"/>
      <c r="M41" s="83" t="s">
        <v>51</v>
      </c>
      <c r="N41" s="83"/>
      <c r="O41" s="83"/>
      <c r="P41" s="83"/>
    </row>
    <row r="42" spans="3:16" s="1" customFormat="1" ht="223.5" customHeight="1">
      <c r="C42" s="89" t="s">
        <v>52</v>
      </c>
      <c r="D42" s="89"/>
      <c r="E42" s="89"/>
      <c r="F42" s="89"/>
      <c r="G42" s="89"/>
      <c r="H42" s="89"/>
      <c r="I42" s="89"/>
      <c r="J42" s="89"/>
      <c r="K42" s="89"/>
      <c r="M42" s="96" t="s">
        <v>53</v>
      </c>
      <c r="N42" s="96"/>
      <c r="O42" s="96"/>
      <c r="P42" s="96"/>
    </row>
    <row r="43" spans="3:16" s="1" customFormat="1" ht="21" customHeight="1">
      <c r="C43" s="97" t="s">
        <v>54</v>
      </c>
      <c r="D43" s="97"/>
      <c r="E43" s="97"/>
      <c r="F43" s="97"/>
      <c r="G43" s="97"/>
      <c r="H43" s="97"/>
      <c r="I43" s="97"/>
      <c r="J43" s="97"/>
      <c r="K43" s="97"/>
      <c r="M43" s="88" t="s">
        <v>54</v>
      </c>
      <c r="N43" s="88"/>
      <c r="O43" s="88"/>
      <c r="P43" s="88"/>
    </row>
    <row r="44" spans="3:16" ht="30" customHeight="1">
      <c r="C44" s="98" t="s">
        <v>55</v>
      </c>
      <c r="D44" s="98"/>
      <c r="E44" s="99"/>
      <c r="F44" s="14" t="s">
        <v>56</v>
      </c>
      <c r="G44" s="14" t="s">
        <v>57</v>
      </c>
      <c r="H44" s="14" t="s">
        <v>58</v>
      </c>
      <c r="I44" s="22" t="s">
        <v>59</v>
      </c>
      <c r="J44" s="1"/>
      <c r="M44" s="59" t="s">
        <v>11</v>
      </c>
      <c r="N44" s="59" t="s">
        <v>12</v>
      </c>
      <c r="O44" s="59" t="s">
        <v>13</v>
      </c>
      <c r="P44" s="76" t="s">
        <v>14</v>
      </c>
    </row>
    <row r="45" spans="3:16" ht="21" customHeight="1">
      <c r="C45" s="116" t="s">
        <v>60</v>
      </c>
      <c r="D45" s="119"/>
      <c r="E45" s="120"/>
      <c r="F45" s="23">
        <v>8.9</v>
      </c>
      <c r="G45" s="23">
        <v>12</v>
      </c>
      <c r="H45" s="24">
        <v>40</v>
      </c>
      <c r="I45" s="16">
        <f>(((G45*J17)*0.6)/128)*F45</f>
        <v>2.8034999999999997</v>
      </c>
      <c r="M45" s="71" t="s">
        <v>44</v>
      </c>
      <c r="N45" s="71"/>
      <c r="O45" s="51"/>
      <c r="P45" s="52"/>
    </row>
    <row r="46" spans="3:16" ht="21" customHeight="1">
      <c r="C46" s="116" t="s">
        <v>61</v>
      </c>
      <c r="D46" s="119"/>
      <c r="E46" s="120"/>
      <c r="F46" s="23">
        <v>8.3000000000000007</v>
      </c>
      <c r="G46" s="23">
        <v>1.5</v>
      </c>
      <c r="H46" s="24">
        <v>10</v>
      </c>
      <c r="I46" s="16">
        <f>(((G46*J17)*0.9)/128)*F46</f>
        <v>0.49021874999999998</v>
      </c>
      <c r="M46" s="71" t="s">
        <v>44</v>
      </c>
      <c r="N46" s="71"/>
      <c r="O46" s="51"/>
      <c r="P46" s="52"/>
    </row>
    <row r="47" spans="3:16" ht="21" customHeight="1">
      <c r="C47" s="116" t="s">
        <v>62</v>
      </c>
      <c r="D47" s="119"/>
      <c r="E47" s="120"/>
      <c r="F47" s="23">
        <v>9.1</v>
      </c>
      <c r="G47" s="23">
        <v>4</v>
      </c>
      <c r="H47" s="24">
        <v>35</v>
      </c>
      <c r="I47" s="16">
        <f>(((G47*J17)*0.65)/128)*F47</f>
        <v>1.0351249999999999</v>
      </c>
      <c r="J47" s="108" t="s">
        <v>63</v>
      </c>
      <c r="K47" s="106"/>
      <c r="M47" s="71" t="s">
        <v>44</v>
      </c>
      <c r="N47" s="71"/>
      <c r="O47" s="51"/>
      <c r="P47" s="52"/>
    </row>
    <row r="48" spans="3:16" ht="21" customHeight="1">
      <c r="C48" s="110" t="s">
        <v>64</v>
      </c>
      <c r="D48" s="111"/>
      <c r="E48" s="112"/>
      <c r="F48" s="23"/>
      <c r="G48" s="23"/>
      <c r="H48" s="24"/>
      <c r="I48" s="16"/>
      <c r="J48" s="16">
        <f>SUM(I45:I53)</f>
        <v>4.328843749999999</v>
      </c>
      <c r="K48" s="2" t="s">
        <v>17</v>
      </c>
      <c r="M48" s="71"/>
      <c r="N48" s="71"/>
      <c r="O48" s="51"/>
      <c r="P48" s="52"/>
    </row>
    <row r="49" spans="3:16" ht="21" customHeight="1">
      <c r="C49" s="110" t="s">
        <v>64</v>
      </c>
      <c r="D49" s="111"/>
      <c r="E49" s="112"/>
      <c r="F49" s="25"/>
      <c r="G49" s="25"/>
      <c r="H49" s="26"/>
      <c r="I49" s="9"/>
      <c r="J49" s="27"/>
      <c r="M49" s="71"/>
      <c r="N49" s="71"/>
      <c r="O49" s="51"/>
      <c r="P49" s="52"/>
    </row>
    <row r="50" spans="3:16" ht="21" customHeight="1">
      <c r="C50" s="110" t="s">
        <v>64</v>
      </c>
      <c r="D50" s="111"/>
      <c r="E50" s="112"/>
      <c r="F50" s="25"/>
      <c r="G50" s="25"/>
      <c r="H50" s="26"/>
      <c r="I50" s="9"/>
      <c r="J50" s="27"/>
      <c r="M50" s="71"/>
      <c r="N50" s="71"/>
      <c r="O50" s="51"/>
      <c r="P50" s="52"/>
    </row>
    <row r="51" spans="3:16" ht="21" customHeight="1">
      <c r="C51" s="110" t="s">
        <v>64</v>
      </c>
      <c r="D51" s="111"/>
      <c r="E51" s="112"/>
      <c r="F51" s="25"/>
      <c r="G51" s="25"/>
      <c r="H51" s="26"/>
      <c r="I51" s="9"/>
      <c r="J51" s="27"/>
      <c r="M51" s="71"/>
      <c r="N51" s="71"/>
      <c r="O51" s="51"/>
      <c r="P51" s="52"/>
    </row>
    <row r="52" spans="3:16" ht="21" customHeight="1">
      <c r="C52" s="110" t="s">
        <v>64</v>
      </c>
      <c r="D52" s="111"/>
      <c r="E52" s="112"/>
      <c r="F52" s="25"/>
      <c r="G52" s="25"/>
      <c r="H52" s="26"/>
      <c r="I52" s="9"/>
      <c r="J52" s="27"/>
      <c r="M52" s="71"/>
      <c r="N52" s="71"/>
      <c r="O52" s="51"/>
      <c r="P52" s="52"/>
    </row>
    <row r="53" spans="3:16" ht="21" customHeight="1">
      <c r="C53" s="110" t="s">
        <v>64</v>
      </c>
      <c r="D53" s="111"/>
      <c r="E53" s="112"/>
      <c r="F53" s="25"/>
      <c r="G53" s="25"/>
      <c r="H53" s="26"/>
      <c r="I53" s="9"/>
      <c r="M53" s="71"/>
      <c r="N53" s="71"/>
      <c r="O53" s="51"/>
      <c r="P53" s="52"/>
    </row>
    <row r="54" spans="3:16" s="1" customFormat="1" ht="21" customHeight="1">
      <c r="C54" s="97" t="s">
        <v>65</v>
      </c>
      <c r="D54" s="97"/>
      <c r="E54" s="97"/>
      <c r="F54" s="97"/>
      <c r="G54" s="97"/>
      <c r="H54" s="97"/>
      <c r="I54" s="97"/>
      <c r="J54" s="97"/>
      <c r="K54" s="97"/>
      <c r="M54" s="85" t="s">
        <v>65</v>
      </c>
      <c r="N54" s="85"/>
      <c r="O54" s="85"/>
      <c r="P54" s="85"/>
    </row>
    <row r="55" spans="3:16" ht="30" customHeight="1">
      <c r="C55" s="98" t="s">
        <v>66</v>
      </c>
      <c r="D55" s="99"/>
      <c r="E55" s="107"/>
      <c r="F55" s="14" t="s">
        <v>67</v>
      </c>
      <c r="G55" s="14" t="s">
        <v>9</v>
      </c>
      <c r="H55" s="14" t="s">
        <v>10</v>
      </c>
      <c r="M55" s="59" t="s">
        <v>11</v>
      </c>
      <c r="N55" s="59" t="s">
        <v>12</v>
      </c>
      <c r="O55" s="59" t="s">
        <v>13</v>
      </c>
      <c r="P55" s="76" t="s">
        <v>14</v>
      </c>
    </row>
    <row r="56" spans="3:16" ht="21" customHeight="1">
      <c r="C56" s="90" t="s">
        <v>68</v>
      </c>
      <c r="D56" s="91"/>
      <c r="E56" s="92"/>
      <c r="F56" s="23"/>
      <c r="G56" s="16"/>
      <c r="H56" s="23"/>
      <c r="M56" s="71"/>
      <c r="N56" s="71"/>
      <c r="O56" s="51"/>
      <c r="P56" s="52"/>
    </row>
    <row r="57" spans="3:16" ht="21" customHeight="1">
      <c r="C57" s="90" t="s">
        <v>68</v>
      </c>
      <c r="D57" s="91"/>
      <c r="E57" s="92"/>
      <c r="F57" s="23"/>
      <c r="G57" s="16"/>
      <c r="H57" s="23"/>
      <c r="J57" s="98" t="s">
        <v>69</v>
      </c>
      <c r="K57" s="106"/>
      <c r="M57" s="71"/>
      <c r="N57" s="71"/>
      <c r="O57" s="51"/>
      <c r="P57" s="52"/>
    </row>
    <row r="58" spans="3:16" ht="21" customHeight="1">
      <c r="C58" s="90" t="s">
        <v>68</v>
      </c>
      <c r="D58" s="91"/>
      <c r="E58" s="92"/>
      <c r="F58" s="23"/>
      <c r="G58" s="16"/>
      <c r="H58" s="15"/>
      <c r="J58" s="16"/>
      <c r="K58" s="2" t="s">
        <v>17</v>
      </c>
      <c r="M58" s="71"/>
      <c r="N58" s="71"/>
      <c r="O58" s="51"/>
      <c r="P58" s="52"/>
    </row>
    <row r="59" spans="3:16" ht="21" customHeight="1">
      <c r="C59" s="90" t="s">
        <v>68</v>
      </c>
      <c r="D59" s="91"/>
      <c r="E59" s="92"/>
      <c r="F59" s="25"/>
      <c r="G59" s="9"/>
      <c r="H59" s="25"/>
      <c r="J59" s="27"/>
      <c r="M59" s="71"/>
      <c r="N59" s="71"/>
      <c r="O59" s="51"/>
      <c r="P59" s="52"/>
    </row>
    <row r="60" spans="3:16" ht="21" customHeight="1">
      <c r="C60" s="90" t="s">
        <v>68</v>
      </c>
      <c r="D60" s="91"/>
      <c r="E60" s="92"/>
      <c r="F60" s="25"/>
      <c r="G60" s="9"/>
      <c r="H60" s="25"/>
      <c r="J60" s="27"/>
      <c r="M60" s="71"/>
      <c r="N60" s="71"/>
      <c r="O60" s="51"/>
      <c r="P60" s="52"/>
    </row>
    <row r="61" spans="3:16" ht="21" customHeight="1">
      <c r="C61" s="90" t="s">
        <v>68</v>
      </c>
      <c r="D61" s="91"/>
      <c r="E61" s="92"/>
      <c r="F61" s="25"/>
      <c r="G61" s="9"/>
      <c r="H61" s="25"/>
      <c r="J61" s="27"/>
      <c r="M61" s="71"/>
      <c r="N61" s="71"/>
      <c r="O61" s="51"/>
      <c r="P61" s="52"/>
    </row>
    <row r="62" spans="3:16" ht="21" customHeight="1">
      <c r="C62" s="90" t="s">
        <v>68</v>
      </c>
      <c r="D62" s="91"/>
      <c r="E62" s="92"/>
      <c r="F62" s="25"/>
      <c r="G62" s="9"/>
      <c r="H62" s="25"/>
      <c r="J62" s="27"/>
      <c r="M62" s="71"/>
      <c r="N62" s="71"/>
      <c r="O62" s="51"/>
      <c r="P62" s="52"/>
    </row>
    <row r="63" spans="3:16" ht="21" customHeight="1">
      <c r="C63" s="90" t="s">
        <v>68</v>
      </c>
      <c r="D63" s="91"/>
      <c r="E63" s="92"/>
      <c r="F63" s="25"/>
      <c r="G63" s="9"/>
      <c r="H63" s="25"/>
      <c r="M63" s="71"/>
      <c r="N63" s="71"/>
      <c r="O63" s="51"/>
      <c r="P63" s="52"/>
    </row>
    <row r="64" spans="3:16" s="1" customFormat="1" ht="21" customHeight="1">
      <c r="C64" s="97" t="s">
        <v>70</v>
      </c>
      <c r="D64" s="97"/>
      <c r="E64" s="97"/>
      <c r="F64" s="97"/>
      <c r="G64" s="97"/>
      <c r="H64" s="97"/>
      <c r="I64" s="97"/>
      <c r="J64" s="97"/>
      <c r="K64" s="97"/>
    </row>
    <row r="65" spans="3:16" ht="21" customHeight="1">
      <c r="C65" s="106"/>
      <c r="D65" s="106"/>
      <c r="E65" s="106"/>
      <c r="F65" s="106"/>
      <c r="G65" s="106"/>
      <c r="I65" s="4" t="s">
        <v>10</v>
      </c>
      <c r="J65" s="4" t="s">
        <v>9</v>
      </c>
    </row>
    <row r="66" spans="3:16" ht="21" customHeight="1">
      <c r="C66" s="28" t="s">
        <v>71</v>
      </c>
      <c r="D66" s="29">
        <f>I66/J7</f>
        <v>1.0090090090090089</v>
      </c>
      <c r="G66" s="101" t="s">
        <v>72</v>
      </c>
      <c r="H66" s="102"/>
      <c r="I66" s="16">
        <f>D67*J13</f>
        <v>224</v>
      </c>
      <c r="J66" s="16">
        <f>I66/62.4</f>
        <v>3.5897435897435899</v>
      </c>
      <c r="M66" s="2" t="s">
        <v>73</v>
      </c>
    </row>
    <row r="67" spans="3:16" ht="21" customHeight="1">
      <c r="C67" s="31" t="s">
        <v>74</v>
      </c>
      <c r="D67" s="32">
        <v>0.4</v>
      </c>
      <c r="G67" s="101" t="s">
        <v>75</v>
      </c>
      <c r="H67" s="102"/>
      <c r="I67" s="16">
        <f>-((F28/100*J28)+(F29/100*J29)+(F30/100*J30)+(F31/100*J31)+(F32/100*J32)+(F33/100*J33))</f>
        <v>-166.00319999999999</v>
      </c>
      <c r="J67" s="1"/>
      <c r="M67" s="2" t="s">
        <v>76</v>
      </c>
    </row>
    <row r="68" spans="3:16" ht="21" customHeight="1">
      <c r="G68" s="101" t="s">
        <v>77</v>
      </c>
      <c r="H68" s="102"/>
      <c r="I68" s="16">
        <f>J48</f>
        <v>4.328843749999999</v>
      </c>
      <c r="J68" s="1"/>
      <c r="M68" s="2" t="s">
        <v>78</v>
      </c>
    </row>
    <row r="69" spans="3:16" ht="21" customHeight="1">
      <c r="G69" s="101" t="s">
        <v>79</v>
      </c>
      <c r="H69" s="102"/>
      <c r="I69" s="16">
        <f>SUM(I66:I68)+I67*-2</f>
        <v>394.33204374999997</v>
      </c>
      <c r="J69" s="1"/>
      <c r="M69" s="33" t="s">
        <v>80</v>
      </c>
    </row>
    <row r="70" spans="3:16" ht="21" customHeight="1">
      <c r="C70" s="34"/>
      <c r="D70" s="34"/>
      <c r="E70" s="34"/>
      <c r="F70" s="3" t="s">
        <v>81</v>
      </c>
      <c r="G70" s="3" t="s">
        <v>82</v>
      </c>
      <c r="H70" s="3" t="s">
        <v>83</v>
      </c>
      <c r="I70" s="35" t="s">
        <v>84</v>
      </c>
      <c r="J70" s="3" t="s">
        <v>85</v>
      </c>
      <c r="K70" s="3" t="s">
        <v>86</v>
      </c>
      <c r="L70" s="4"/>
      <c r="N70" s="4"/>
      <c r="O70" s="4"/>
      <c r="P70" s="4"/>
    </row>
    <row r="71" spans="3:16" ht="21" customHeight="1">
      <c r="C71" s="30" t="s">
        <v>87</v>
      </c>
      <c r="D71" s="104" t="s">
        <v>88</v>
      </c>
      <c r="E71" s="105"/>
      <c r="F71" s="37">
        <f>J13+J7</f>
        <v>782</v>
      </c>
      <c r="G71" s="38">
        <f>SUM(H22:H24)</f>
        <v>5</v>
      </c>
      <c r="H71" s="38">
        <f>SUM(J28:J29)</f>
        <v>500.48</v>
      </c>
      <c r="I71" s="38">
        <f>SUM(H56:H63)</f>
        <v>0</v>
      </c>
      <c r="J71" s="38">
        <f>SUM(I67:I69)-I68</f>
        <v>228.32884374999998</v>
      </c>
      <c r="K71" s="38">
        <f>SUM(F71:J71)</f>
        <v>1515.8088437500001</v>
      </c>
      <c r="L71" s="21"/>
      <c r="M71" s="2" t="s">
        <v>89</v>
      </c>
      <c r="N71" s="21"/>
      <c r="O71" s="21"/>
      <c r="P71" s="21"/>
    </row>
    <row r="72" spans="3:16" ht="21" customHeight="1">
      <c r="C72" s="39" t="s">
        <v>9</v>
      </c>
      <c r="D72" s="104" t="s">
        <v>90</v>
      </c>
      <c r="E72" s="105"/>
      <c r="F72" s="40">
        <f>SUM(G13:G14)+G7</f>
        <v>4.6532251273630578</v>
      </c>
      <c r="G72" s="41">
        <f>SUM(G22:G24)</f>
        <v>8.8052972668357279E-2</v>
      </c>
      <c r="H72" s="41">
        <f>SUM(K28:K40)</f>
        <v>18.664329530859689</v>
      </c>
      <c r="I72" s="41">
        <f>SUM(G56:G63)</f>
        <v>0</v>
      </c>
      <c r="J72" s="41">
        <f>SUM(J66)</f>
        <v>3.5897435897435899</v>
      </c>
      <c r="K72" s="41">
        <f>SUM(F72:J72)</f>
        <v>26.995351220634696</v>
      </c>
      <c r="L72" s="42"/>
      <c r="M72" s="2" t="s">
        <v>91</v>
      </c>
      <c r="N72" s="42"/>
      <c r="O72" s="42"/>
      <c r="P72" s="42"/>
    </row>
    <row r="73" spans="3:16" ht="21" customHeight="1">
      <c r="C73" s="30" t="s">
        <v>92</v>
      </c>
      <c r="D73" s="104" t="s">
        <v>93</v>
      </c>
      <c r="E73" s="105"/>
      <c r="F73" s="16">
        <f>K71/27</f>
        <v>56.141068287037037</v>
      </c>
      <c r="M73" s="2" t="s">
        <v>94</v>
      </c>
    </row>
    <row r="74" spans="3:16" ht="21" customHeight="1">
      <c r="C74" s="30" t="s">
        <v>95</v>
      </c>
      <c r="D74" s="43"/>
      <c r="E74" s="36"/>
      <c r="F74" s="16">
        <f>H72/K72*100</f>
        <v>69.139050565836143</v>
      </c>
    </row>
    <row r="75" spans="3:16" ht="21" customHeight="1">
      <c r="C75" s="30"/>
      <c r="D75" s="43"/>
      <c r="F75" s="44"/>
      <c r="H75" s="45" t="s">
        <v>96</v>
      </c>
      <c r="I75" s="16">
        <f>(F73-E77)/F73*100</f>
        <v>100</v>
      </c>
      <c r="J75" s="46" t="s">
        <v>97</v>
      </c>
    </row>
    <row r="76" spans="3:16" ht="21" customHeight="1">
      <c r="C76" s="97" t="s">
        <v>98</v>
      </c>
      <c r="D76" s="97"/>
      <c r="E76" s="97"/>
      <c r="F76" s="97"/>
      <c r="G76" s="97"/>
      <c r="H76" s="97"/>
      <c r="I76" s="97"/>
      <c r="J76" s="97"/>
      <c r="K76" s="97"/>
    </row>
    <row r="77" spans="3:16" ht="21" customHeight="1">
      <c r="C77" s="33" t="s">
        <v>99</v>
      </c>
      <c r="D77" s="47"/>
      <c r="E77" s="48"/>
      <c r="F77" s="2" t="s">
        <v>100</v>
      </c>
      <c r="M77" s="2" t="s">
        <v>101</v>
      </c>
    </row>
    <row r="78" spans="3:16" ht="21" customHeight="1">
      <c r="C78" s="33" t="s">
        <v>102</v>
      </c>
      <c r="D78" s="33"/>
      <c r="E78" s="49"/>
      <c r="F78" s="2" t="s">
        <v>97</v>
      </c>
      <c r="M78" s="2" t="s">
        <v>103</v>
      </c>
    </row>
    <row r="80" spans="3:16" s="1" customFormat="1" ht="21" customHeight="1">
      <c r="C80" s="97" t="s">
        <v>104</v>
      </c>
      <c r="D80" s="97"/>
      <c r="E80" s="97"/>
      <c r="F80" s="97"/>
      <c r="G80" s="97"/>
      <c r="H80" s="97"/>
      <c r="I80" s="97"/>
      <c r="J80" s="97"/>
      <c r="K80" s="97"/>
      <c r="M80" s="97" t="s">
        <v>104</v>
      </c>
      <c r="N80" s="97"/>
      <c r="O80" s="97"/>
      <c r="P80" s="97"/>
    </row>
    <row r="81" spans="3:16" s="1" customFormat="1" ht="210" customHeight="1">
      <c r="C81" s="89" t="s">
        <v>105</v>
      </c>
      <c r="D81" s="89"/>
      <c r="E81" s="89"/>
      <c r="F81" s="89"/>
      <c r="G81" s="89"/>
      <c r="H81" s="89"/>
      <c r="I81" s="89"/>
      <c r="J81" s="89"/>
      <c r="K81" s="89"/>
      <c r="L81" s="89"/>
      <c r="M81" s="89"/>
      <c r="N81" s="89"/>
      <c r="O81" s="89"/>
      <c r="P81" s="89"/>
    </row>
    <row r="82" spans="3:16" ht="30" customHeight="1">
      <c r="C82" s="98" t="s">
        <v>7</v>
      </c>
      <c r="D82" s="98"/>
      <c r="E82" s="99"/>
      <c r="F82" s="103" t="s">
        <v>106</v>
      </c>
      <c r="G82" s="103"/>
      <c r="H82" s="103"/>
      <c r="I82" s="103"/>
      <c r="J82" s="103"/>
      <c r="K82" s="103"/>
      <c r="M82" s="59" t="s">
        <v>11</v>
      </c>
      <c r="N82" s="59" t="s">
        <v>12</v>
      </c>
      <c r="O82" s="59" t="s">
        <v>13</v>
      </c>
      <c r="P82" s="76" t="s">
        <v>14</v>
      </c>
    </row>
    <row r="83" spans="3:16" ht="21" customHeight="1">
      <c r="C83" s="93" t="s">
        <v>107</v>
      </c>
      <c r="D83" s="93"/>
      <c r="E83" s="93"/>
      <c r="F83" s="103"/>
      <c r="G83" s="103"/>
      <c r="H83" s="103"/>
      <c r="I83" s="103"/>
      <c r="J83" s="103"/>
      <c r="K83" s="103"/>
      <c r="M83" s="71"/>
      <c r="N83" s="71"/>
      <c r="O83" s="51"/>
      <c r="P83" s="52"/>
    </row>
    <row r="84" spans="3:16" ht="21" customHeight="1">
      <c r="C84" s="93" t="s">
        <v>108</v>
      </c>
      <c r="D84" s="93"/>
      <c r="E84" s="93"/>
      <c r="F84" s="103"/>
      <c r="G84" s="103"/>
      <c r="H84" s="103"/>
      <c r="I84" s="103"/>
      <c r="J84" s="103"/>
      <c r="K84" s="103"/>
      <c r="M84" s="71"/>
      <c r="N84" s="71"/>
      <c r="O84" s="51"/>
      <c r="P84" s="52"/>
    </row>
    <row r="85" spans="3:16" ht="21" customHeight="1">
      <c r="C85" s="93" t="s">
        <v>108</v>
      </c>
      <c r="D85" s="93"/>
      <c r="E85" s="93"/>
      <c r="F85" s="103"/>
      <c r="G85" s="103"/>
      <c r="H85" s="103"/>
      <c r="I85" s="103"/>
      <c r="J85" s="103"/>
      <c r="K85" s="103"/>
      <c r="M85" s="71"/>
      <c r="N85" s="71"/>
      <c r="O85" s="51"/>
      <c r="P85" s="52"/>
    </row>
    <row r="86" spans="3:16" ht="21" customHeight="1">
      <c r="C86" s="97" t="s">
        <v>109</v>
      </c>
      <c r="D86" s="97"/>
      <c r="E86" s="97"/>
      <c r="F86" s="97"/>
      <c r="G86" s="97"/>
      <c r="H86" s="97"/>
      <c r="I86" s="97"/>
      <c r="J86" s="97"/>
      <c r="K86" s="97"/>
      <c r="M86" s="83" t="s">
        <v>109</v>
      </c>
      <c r="N86" s="83"/>
      <c r="O86" s="83"/>
      <c r="P86" s="83"/>
    </row>
    <row r="87" spans="3:16" s="1" customFormat="1" ht="110.25" customHeight="1">
      <c r="C87" s="84" t="s">
        <v>110</v>
      </c>
      <c r="D87" s="84"/>
      <c r="E87" s="84"/>
      <c r="F87" s="84"/>
      <c r="G87" s="84"/>
      <c r="H87" s="84"/>
      <c r="I87" s="84"/>
      <c r="J87" s="84"/>
      <c r="K87" s="84"/>
      <c r="L87" s="84"/>
      <c r="M87" s="84"/>
      <c r="N87" s="84"/>
      <c r="O87" s="84"/>
      <c r="P87" s="84"/>
    </row>
    <row r="88" spans="3:16" ht="21" customHeight="1">
      <c r="C88" s="97" t="s">
        <v>111</v>
      </c>
      <c r="D88" s="97"/>
      <c r="E88" s="97"/>
      <c r="F88" s="97"/>
      <c r="G88" s="97"/>
      <c r="H88" s="97"/>
      <c r="I88" s="97"/>
      <c r="J88" s="97"/>
      <c r="K88" s="97"/>
      <c r="M88" s="88" t="s">
        <v>111</v>
      </c>
      <c r="N88" s="88"/>
      <c r="O88" s="88"/>
      <c r="P88" s="88"/>
    </row>
    <row r="89" spans="3:16" ht="30" customHeight="1">
      <c r="C89" s="98" t="s">
        <v>7</v>
      </c>
      <c r="D89" s="98"/>
      <c r="E89" s="99"/>
      <c r="F89" s="103" t="s">
        <v>112</v>
      </c>
      <c r="G89" s="103"/>
      <c r="H89" s="103"/>
      <c r="I89" s="103"/>
      <c r="J89" s="103"/>
      <c r="K89" s="103"/>
      <c r="M89" s="59" t="s">
        <v>11</v>
      </c>
      <c r="N89" s="59" t="s">
        <v>12</v>
      </c>
      <c r="O89" s="59" t="s">
        <v>13</v>
      </c>
      <c r="P89" s="76" t="s">
        <v>14</v>
      </c>
    </row>
    <row r="90" spans="3:16" ht="21" customHeight="1">
      <c r="C90" s="93" t="s">
        <v>113</v>
      </c>
      <c r="D90" s="93"/>
      <c r="E90" s="93"/>
      <c r="F90" s="103"/>
      <c r="G90" s="103"/>
      <c r="H90" s="103"/>
      <c r="I90" s="103"/>
      <c r="J90" s="103"/>
      <c r="K90" s="103"/>
      <c r="M90" s="71"/>
      <c r="N90" s="71"/>
      <c r="O90" s="51"/>
      <c r="P90" s="52"/>
    </row>
    <row r="91" spans="3:16" ht="21" customHeight="1">
      <c r="C91" s="93" t="s">
        <v>113</v>
      </c>
      <c r="D91" s="93"/>
      <c r="E91" s="93"/>
      <c r="F91" s="103"/>
      <c r="G91" s="103"/>
      <c r="H91" s="103"/>
      <c r="I91" s="103"/>
      <c r="J91" s="103"/>
      <c r="K91" s="103"/>
      <c r="M91" s="71"/>
      <c r="N91" s="71"/>
      <c r="O91" s="51"/>
      <c r="P91" s="52"/>
    </row>
    <row r="92" spans="3:16" ht="21" customHeight="1">
      <c r="C92" s="93" t="s">
        <v>113</v>
      </c>
      <c r="D92" s="93"/>
      <c r="E92" s="93"/>
      <c r="F92" s="103"/>
      <c r="G92" s="103"/>
      <c r="H92" s="103"/>
      <c r="I92" s="103"/>
      <c r="J92" s="103"/>
      <c r="K92" s="103"/>
      <c r="M92" s="71"/>
      <c r="N92" s="71"/>
      <c r="O92" s="51"/>
      <c r="P92" s="52"/>
    </row>
    <row r="93" spans="3:16" ht="21" customHeight="1">
      <c r="C93" s="97" t="s">
        <v>114</v>
      </c>
      <c r="D93" s="97"/>
      <c r="E93" s="97"/>
      <c r="F93" s="97"/>
      <c r="G93" s="97"/>
      <c r="H93" s="97"/>
      <c r="I93" s="97"/>
      <c r="J93" s="97"/>
      <c r="K93" s="97"/>
      <c r="M93" s="85" t="s">
        <v>114</v>
      </c>
      <c r="N93" s="85"/>
      <c r="O93" s="85"/>
      <c r="P93" s="85"/>
    </row>
    <row r="94" spans="3:16" ht="30" customHeight="1">
      <c r="C94" s="98" t="s">
        <v>7</v>
      </c>
      <c r="D94" s="98"/>
      <c r="E94" s="99"/>
      <c r="F94" s="103" t="s">
        <v>115</v>
      </c>
      <c r="G94" s="103"/>
      <c r="H94" s="103"/>
      <c r="I94" s="103"/>
      <c r="J94" s="103"/>
      <c r="K94" s="103"/>
      <c r="M94" s="59" t="s">
        <v>11</v>
      </c>
      <c r="N94" s="59" t="s">
        <v>12</v>
      </c>
      <c r="O94" s="59" t="s">
        <v>13</v>
      </c>
      <c r="P94" s="76" t="s">
        <v>14</v>
      </c>
    </row>
    <row r="95" spans="3:16" ht="21" customHeight="1">
      <c r="C95" s="93" t="s">
        <v>116</v>
      </c>
      <c r="D95" s="93"/>
      <c r="E95" s="93"/>
      <c r="F95" s="103"/>
      <c r="G95" s="103"/>
      <c r="H95" s="103"/>
      <c r="I95" s="103"/>
      <c r="J95" s="103"/>
      <c r="K95" s="103"/>
      <c r="M95" s="71"/>
      <c r="N95" s="71"/>
      <c r="O95" s="51"/>
      <c r="P95" s="52"/>
    </row>
    <row r="96" spans="3:16" ht="21" customHeight="1">
      <c r="C96" s="93" t="s">
        <v>116</v>
      </c>
      <c r="D96" s="93"/>
      <c r="E96" s="93"/>
      <c r="F96" s="103"/>
      <c r="G96" s="103"/>
      <c r="H96" s="103"/>
      <c r="I96" s="103"/>
      <c r="J96" s="103"/>
      <c r="K96" s="103"/>
      <c r="M96" s="71"/>
      <c r="N96" s="71"/>
      <c r="O96" s="51"/>
      <c r="P96" s="52"/>
    </row>
    <row r="97" spans="3:16" ht="21" customHeight="1">
      <c r="C97" s="93" t="s">
        <v>116</v>
      </c>
      <c r="D97" s="93"/>
      <c r="E97" s="93"/>
      <c r="F97" s="103"/>
      <c r="G97" s="103"/>
      <c r="H97" s="103"/>
      <c r="I97" s="103"/>
      <c r="J97" s="103"/>
      <c r="K97" s="103"/>
      <c r="M97" s="71"/>
      <c r="N97" s="71"/>
      <c r="O97" s="51"/>
      <c r="P97" s="52"/>
    </row>
    <row r="98" spans="3:16" ht="21" customHeight="1">
      <c r="C98" s="97" t="s">
        <v>117</v>
      </c>
      <c r="D98" s="97"/>
      <c r="E98" s="97"/>
      <c r="F98" s="97"/>
      <c r="G98" s="97"/>
      <c r="H98" s="97"/>
      <c r="I98" s="97"/>
      <c r="J98" s="97"/>
      <c r="K98" s="97"/>
      <c r="M98" s="83" t="s">
        <v>117</v>
      </c>
      <c r="N98" s="83"/>
      <c r="O98" s="83"/>
      <c r="P98" s="83"/>
    </row>
    <row r="99" spans="3:16" s="1" customFormat="1" ht="110.25" customHeight="1">
      <c r="C99" s="84" t="s">
        <v>118</v>
      </c>
      <c r="D99" s="84"/>
      <c r="E99" s="84"/>
      <c r="F99" s="84"/>
      <c r="G99" s="84"/>
      <c r="H99" s="84"/>
      <c r="I99" s="84"/>
      <c r="J99" s="84"/>
      <c r="K99" s="84"/>
      <c r="L99" s="84"/>
      <c r="M99" s="84"/>
      <c r="N99" s="84"/>
      <c r="O99" s="84"/>
      <c r="P99" s="84"/>
    </row>
    <row r="100" spans="3:16" ht="30" customHeight="1">
      <c r="C100" s="98" t="s">
        <v>7</v>
      </c>
      <c r="D100" s="98"/>
      <c r="E100" s="99"/>
      <c r="F100" s="103" t="s">
        <v>119</v>
      </c>
      <c r="G100" s="103"/>
      <c r="H100" s="103"/>
      <c r="I100" s="103"/>
      <c r="J100" s="103"/>
      <c r="K100" s="103"/>
      <c r="M100" s="59" t="s">
        <v>11</v>
      </c>
      <c r="N100" s="59" t="s">
        <v>12</v>
      </c>
      <c r="O100" s="59" t="s">
        <v>13</v>
      </c>
      <c r="P100" s="76" t="s">
        <v>14</v>
      </c>
    </row>
    <row r="101" spans="3:16" ht="21" customHeight="1">
      <c r="C101" s="93" t="s">
        <v>120</v>
      </c>
      <c r="D101" s="93"/>
      <c r="E101" s="93"/>
      <c r="F101" s="103"/>
      <c r="G101" s="103"/>
      <c r="H101" s="103"/>
      <c r="I101" s="103"/>
      <c r="J101" s="103"/>
      <c r="K101" s="103"/>
      <c r="M101" s="71"/>
      <c r="N101" s="71"/>
      <c r="O101" s="51"/>
      <c r="P101" s="52"/>
    </row>
    <row r="102" spans="3:16" ht="21" customHeight="1">
      <c r="C102" s="93" t="s">
        <v>120</v>
      </c>
      <c r="D102" s="93"/>
      <c r="E102" s="93"/>
      <c r="F102" s="103"/>
      <c r="G102" s="103"/>
      <c r="H102" s="103"/>
      <c r="I102" s="103"/>
      <c r="J102" s="103"/>
      <c r="K102" s="103"/>
      <c r="M102" s="71"/>
      <c r="N102" s="71"/>
      <c r="O102" s="51"/>
      <c r="P102" s="52"/>
    </row>
    <row r="103" spans="3:16" ht="21" customHeight="1">
      <c r="C103" s="93" t="s">
        <v>120</v>
      </c>
      <c r="D103" s="93"/>
      <c r="E103" s="93"/>
      <c r="F103" s="103"/>
      <c r="G103" s="103"/>
      <c r="H103" s="103"/>
      <c r="I103" s="103"/>
      <c r="J103" s="103"/>
      <c r="K103" s="103"/>
      <c r="M103" s="71"/>
      <c r="N103" s="71"/>
      <c r="O103" s="51"/>
      <c r="P103" s="52"/>
    </row>
    <row r="104" spans="3:16" ht="21" customHeight="1">
      <c r="C104" s="97" t="s">
        <v>121</v>
      </c>
      <c r="D104" s="97"/>
      <c r="E104" s="97"/>
      <c r="F104" s="97"/>
      <c r="G104" s="97"/>
      <c r="H104" s="97"/>
      <c r="I104" s="97"/>
      <c r="J104" s="97"/>
      <c r="K104" s="97"/>
      <c r="M104" s="83" t="s">
        <v>121</v>
      </c>
      <c r="N104" s="83"/>
      <c r="O104" s="83"/>
      <c r="P104" s="83"/>
    </row>
    <row r="105" spans="3:16" s="1" customFormat="1" ht="46.5" customHeight="1">
      <c r="C105" s="84" t="s">
        <v>122</v>
      </c>
      <c r="D105" s="84"/>
      <c r="E105" s="84"/>
      <c r="F105" s="84"/>
      <c r="G105" s="84"/>
      <c r="H105" s="84"/>
      <c r="I105" s="84"/>
      <c r="J105" s="84"/>
      <c r="K105" s="84"/>
      <c r="L105" s="84"/>
      <c r="M105" s="84"/>
      <c r="N105" s="84"/>
      <c r="O105" s="84"/>
      <c r="P105" s="84"/>
    </row>
    <row r="106" spans="3:16" ht="30" customHeight="1">
      <c r="C106" s="98" t="s">
        <v>7</v>
      </c>
      <c r="D106" s="98"/>
      <c r="E106" s="99"/>
      <c r="F106" s="103" t="s">
        <v>123</v>
      </c>
      <c r="G106" s="103"/>
      <c r="H106" s="103"/>
      <c r="I106" s="103"/>
      <c r="J106" s="103"/>
      <c r="K106" s="103"/>
      <c r="M106" s="60" t="s">
        <v>11</v>
      </c>
      <c r="N106" s="59" t="s">
        <v>12</v>
      </c>
      <c r="O106" s="59" t="s">
        <v>13</v>
      </c>
      <c r="P106" s="76" t="s">
        <v>14</v>
      </c>
    </row>
    <row r="107" spans="3:16" ht="21" customHeight="1">
      <c r="C107" s="93" t="s">
        <v>124</v>
      </c>
      <c r="D107" s="93"/>
      <c r="E107" s="93"/>
      <c r="F107" s="103"/>
      <c r="G107" s="103"/>
      <c r="H107" s="103"/>
      <c r="I107" s="103"/>
      <c r="J107" s="103"/>
      <c r="K107" s="103"/>
      <c r="M107" s="71"/>
      <c r="N107" s="71"/>
      <c r="O107" s="51"/>
      <c r="P107" s="52"/>
    </row>
    <row r="108" spans="3:16" ht="21" customHeight="1">
      <c r="C108" s="93" t="s">
        <v>124</v>
      </c>
      <c r="D108" s="93"/>
      <c r="E108" s="93"/>
      <c r="F108" s="103"/>
      <c r="G108" s="103"/>
      <c r="H108" s="103"/>
      <c r="I108" s="103"/>
      <c r="J108" s="103"/>
      <c r="K108" s="103"/>
      <c r="M108" s="71"/>
      <c r="N108" s="71"/>
      <c r="O108" s="51"/>
      <c r="P108" s="52"/>
    </row>
    <row r="109" spans="3:16" ht="21" customHeight="1">
      <c r="C109" s="93" t="s">
        <v>124</v>
      </c>
      <c r="D109" s="93"/>
      <c r="E109" s="93"/>
      <c r="F109" s="103"/>
      <c r="G109" s="103"/>
      <c r="H109" s="103"/>
      <c r="I109" s="103"/>
      <c r="J109" s="103"/>
      <c r="K109" s="103"/>
      <c r="M109" s="71"/>
      <c r="N109" s="71"/>
      <c r="O109" s="51"/>
      <c r="P109" s="52"/>
    </row>
    <row r="110" spans="3:16" ht="21" customHeight="1">
      <c r="C110" s="97" t="s">
        <v>125</v>
      </c>
      <c r="D110" s="97"/>
      <c r="E110" s="97"/>
      <c r="F110" s="97"/>
      <c r="G110" s="97"/>
      <c r="H110" s="97"/>
      <c r="I110" s="97"/>
      <c r="J110" s="97"/>
      <c r="K110" s="97"/>
      <c r="M110" s="83" t="s">
        <v>125</v>
      </c>
      <c r="N110" s="83"/>
      <c r="O110" s="83"/>
      <c r="P110" s="83"/>
    </row>
    <row r="111" spans="3:16" s="1" customFormat="1" ht="33.75" customHeight="1">
      <c r="C111" s="84" t="s">
        <v>126</v>
      </c>
      <c r="D111" s="84"/>
      <c r="E111" s="84"/>
      <c r="F111" s="84"/>
      <c r="G111" s="84"/>
      <c r="H111" s="84"/>
      <c r="I111" s="84"/>
      <c r="J111" s="84"/>
      <c r="K111" s="84"/>
      <c r="L111" s="84"/>
      <c r="M111" s="84"/>
      <c r="N111" s="84"/>
      <c r="O111" s="84"/>
      <c r="P111" s="84"/>
    </row>
    <row r="112" spans="3:16" ht="30" customHeight="1">
      <c r="C112" s="98" t="s">
        <v>7</v>
      </c>
      <c r="D112" s="98"/>
      <c r="E112" s="99"/>
      <c r="F112" s="98" t="s">
        <v>127</v>
      </c>
      <c r="G112" s="98"/>
      <c r="H112" s="98"/>
      <c r="I112" s="98"/>
      <c r="J112" s="98"/>
      <c r="K112" s="98"/>
      <c r="M112" s="59" t="s">
        <v>11</v>
      </c>
      <c r="N112" s="59" t="s">
        <v>12</v>
      </c>
      <c r="O112" s="59" t="s">
        <v>13</v>
      </c>
      <c r="P112" s="76" t="s">
        <v>14</v>
      </c>
    </row>
    <row r="113" spans="3:16" ht="21" customHeight="1">
      <c r="C113" s="93" t="s">
        <v>128</v>
      </c>
      <c r="D113" s="93"/>
      <c r="E113" s="93"/>
      <c r="F113" s="100"/>
      <c r="G113" s="100"/>
      <c r="H113" s="100"/>
      <c r="I113" s="100"/>
      <c r="J113" s="100"/>
      <c r="K113" s="100"/>
      <c r="M113" s="71"/>
      <c r="N113" s="71"/>
      <c r="O113" s="51"/>
      <c r="P113" s="52"/>
    </row>
    <row r="114" spans="3:16" ht="21" customHeight="1">
      <c r="C114" s="93" t="s">
        <v>128</v>
      </c>
      <c r="D114" s="93"/>
      <c r="E114" s="93"/>
      <c r="F114" s="100"/>
      <c r="G114" s="100"/>
      <c r="H114" s="100"/>
      <c r="I114" s="100"/>
      <c r="J114" s="100"/>
      <c r="K114" s="100"/>
      <c r="M114" s="71"/>
      <c r="N114" s="71"/>
      <c r="O114" s="51"/>
      <c r="P114" s="52"/>
    </row>
    <row r="115" spans="3:16" ht="21" customHeight="1">
      <c r="C115" s="93" t="s">
        <v>128</v>
      </c>
      <c r="D115" s="93"/>
      <c r="E115" s="93"/>
      <c r="F115" s="100"/>
      <c r="G115" s="100"/>
      <c r="H115" s="100"/>
      <c r="I115" s="100"/>
      <c r="J115" s="100"/>
      <c r="K115" s="100"/>
      <c r="M115" s="71"/>
      <c r="N115" s="71"/>
      <c r="O115" s="51"/>
      <c r="P115" s="52"/>
    </row>
  </sheetData>
  <mergeCells count="140">
    <mergeCell ref="C6:E6"/>
    <mergeCell ref="C7:E7"/>
    <mergeCell ref="C8:E8"/>
    <mergeCell ref="C9:E9"/>
    <mergeCell ref="C10:K10"/>
    <mergeCell ref="M10:P10"/>
    <mergeCell ref="C1:K1"/>
    <mergeCell ref="C3:K3"/>
    <mergeCell ref="M3:P3"/>
    <mergeCell ref="C4:K4"/>
    <mergeCell ref="M4:P4"/>
    <mergeCell ref="C5:K5"/>
    <mergeCell ref="M5:P5"/>
    <mergeCell ref="C16:E16"/>
    <mergeCell ref="C17:E17"/>
    <mergeCell ref="C18:E18"/>
    <mergeCell ref="C19:K19"/>
    <mergeCell ref="M19:P19"/>
    <mergeCell ref="C20:K20"/>
    <mergeCell ref="M20:P20"/>
    <mergeCell ref="C11:E11"/>
    <mergeCell ref="C12:K12"/>
    <mergeCell ref="M12:P12"/>
    <mergeCell ref="C13:E13"/>
    <mergeCell ref="C14:E14"/>
    <mergeCell ref="C15:E15"/>
    <mergeCell ref="M25:P25"/>
    <mergeCell ref="C26:K26"/>
    <mergeCell ref="M26:P26"/>
    <mergeCell ref="C27:E27"/>
    <mergeCell ref="C28:E28"/>
    <mergeCell ref="C29:E29"/>
    <mergeCell ref="C21:E21"/>
    <mergeCell ref="C22:E22"/>
    <mergeCell ref="C23:E23"/>
    <mergeCell ref="J23:K23"/>
    <mergeCell ref="C24:E24"/>
    <mergeCell ref="C25:K25"/>
    <mergeCell ref="C36:E36"/>
    <mergeCell ref="C37:E37"/>
    <mergeCell ref="C38:E38"/>
    <mergeCell ref="C39:E39"/>
    <mergeCell ref="C40:E40"/>
    <mergeCell ref="C41:K41"/>
    <mergeCell ref="C30:E30"/>
    <mergeCell ref="C31:E31"/>
    <mergeCell ref="C32:E32"/>
    <mergeCell ref="C33:E33"/>
    <mergeCell ref="C34:E34"/>
    <mergeCell ref="C35:E35"/>
    <mergeCell ref="M54:P54"/>
    <mergeCell ref="C45:E45"/>
    <mergeCell ref="C46:E46"/>
    <mergeCell ref="C47:E47"/>
    <mergeCell ref="J47:K47"/>
    <mergeCell ref="C48:E48"/>
    <mergeCell ref="C49:E49"/>
    <mergeCell ref="M41:P41"/>
    <mergeCell ref="C42:K42"/>
    <mergeCell ref="M42:P42"/>
    <mergeCell ref="C43:K43"/>
    <mergeCell ref="M43:P43"/>
    <mergeCell ref="C44:E44"/>
    <mergeCell ref="C55:E55"/>
    <mergeCell ref="C56:E56"/>
    <mergeCell ref="C57:E57"/>
    <mergeCell ref="J57:K57"/>
    <mergeCell ref="C58:E58"/>
    <mergeCell ref="C59:E59"/>
    <mergeCell ref="C50:E50"/>
    <mergeCell ref="C51:E51"/>
    <mergeCell ref="C52:E52"/>
    <mergeCell ref="C53:E53"/>
    <mergeCell ref="C54:K54"/>
    <mergeCell ref="G66:H66"/>
    <mergeCell ref="G67:H67"/>
    <mergeCell ref="G68:H68"/>
    <mergeCell ref="G69:H69"/>
    <mergeCell ref="D71:E71"/>
    <mergeCell ref="D72:E72"/>
    <mergeCell ref="C60:E60"/>
    <mergeCell ref="C61:E61"/>
    <mergeCell ref="C62:E62"/>
    <mergeCell ref="C63:E63"/>
    <mergeCell ref="C64:K64"/>
    <mergeCell ref="C65:G65"/>
    <mergeCell ref="D73:E73"/>
    <mergeCell ref="C76:K76"/>
    <mergeCell ref="C80:K80"/>
    <mergeCell ref="M80:P80"/>
    <mergeCell ref="C81:P81"/>
    <mergeCell ref="C82:E82"/>
    <mergeCell ref="F82:K85"/>
    <mergeCell ref="C83:E83"/>
    <mergeCell ref="C84:E84"/>
    <mergeCell ref="C85:E85"/>
    <mergeCell ref="C93:K93"/>
    <mergeCell ref="M93:P93"/>
    <mergeCell ref="C94:E94"/>
    <mergeCell ref="F94:K97"/>
    <mergeCell ref="C95:E95"/>
    <mergeCell ref="C96:E96"/>
    <mergeCell ref="C97:E97"/>
    <mergeCell ref="C86:K86"/>
    <mergeCell ref="M86:P86"/>
    <mergeCell ref="C87:P87"/>
    <mergeCell ref="C88:K88"/>
    <mergeCell ref="M88:P88"/>
    <mergeCell ref="C89:E89"/>
    <mergeCell ref="F89:K92"/>
    <mergeCell ref="C90:E90"/>
    <mergeCell ref="C91:E91"/>
    <mergeCell ref="C92:E92"/>
    <mergeCell ref="C104:K104"/>
    <mergeCell ref="M104:P104"/>
    <mergeCell ref="C105:P105"/>
    <mergeCell ref="C106:E106"/>
    <mergeCell ref="F106:K109"/>
    <mergeCell ref="C107:E107"/>
    <mergeCell ref="C108:E108"/>
    <mergeCell ref="C109:E109"/>
    <mergeCell ref="C98:K98"/>
    <mergeCell ref="M98:P98"/>
    <mergeCell ref="C99:P99"/>
    <mergeCell ref="C100:E100"/>
    <mergeCell ref="F100:K103"/>
    <mergeCell ref="C101:E101"/>
    <mergeCell ref="C102:E102"/>
    <mergeCell ref="C103:E103"/>
    <mergeCell ref="C114:E114"/>
    <mergeCell ref="F114:K114"/>
    <mergeCell ref="C115:E115"/>
    <mergeCell ref="F115:K115"/>
    <mergeCell ref="C110:K110"/>
    <mergeCell ref="M110:P110"/>
    <mergeCell ref="C111:P111"/>
    <mergeCell ref="C112:E112"/>
    <mergeCell ref="F112:K112"/>
    <mergeCell ref="C113:E113"/>
    <mergeCell ref="F113:K113"/>
  </mergeCells>
  <conditionalFormatting sqref="M7:O9 M56:O63">
    <cfRule type="cellIs" dxfId="35" priority="34" operator="equal">
      <formula>"N/A"</formula>
    </cfRule>
    <cfRule type="cellIs" dxfId="34" priority="35" operator="equal">
      <formula>"Yes"</formula>
    </cfRule>
    <cfRule type="cellIs" dxfId="33" priority="36" operator="equal">
      <formula>"No"</formula>
    </cfRule>
  </conditionalFormatting>
  <conditionalFormatting sqref="M11:O11">
    <cfRule type="cellIs" dxfId="32" priority="31" operator="equal">
      <formula>"N/A"</formula>
    </cfRule>
    <cfRule type="cellIs" dxfId="31" priority="32" operator="equal">
      <formula>"Yes"</formula>
    </cfRule>
    <cfRule type="cellIs" dxfId="30" priority="33" operator="equal">
      <formula>"No"</formula>
    </cfRule>
  </conditionalFormatting>
  <conditionalFormatting sqref="M13:O18">
    <cfRule type="cellIs" dxfId="29" priority="28" operator="equal">
      <formula>"N/A"</formula>
    </cfRule>
    <cfRule type="cellIs" dxfId="28" priority="29" operator="equal">
      <formula>"Yes"</formula>
    </cfRule>
    <cfRule type="cellIs" dxfId="27" priority="30" operator="equal">
      <formula>"No"</formula>
    </cfRule>
  </conditionalFormatting>
  <conditionalFormatting sqref="M22:O24">
    <cfRule type="cellIs" dxfId="26" priority="25" operator="equal">
      <formula>"N/A"</formula>
    </cfRule>
    <cfRule type="cellIs" dxfId="25" priority="26" operator="equal">
      <formula>"Yes"</formula>
    </cfRule>
    <cfRule type="cellIs" dxfId="24" priority="27" operator="equal">
      <formula>"No"</formula>
    </cfRule>
  </conditionalFormatting>
  <conditionalFormatting sqref="M28:O40">
    <cfRule type="cellIs" dxfId="23" priority="22" operator="equal">
      <formula>"N/A"</formula>
    </cfRule>
    <cfRule type="cellIs" dxfId="22" priority="23" operator="equal">
      <formula>"Yes"</formula>
    </cfRule>
    <cfRule type="cellIs" dxfId="21" priority="24" operator="equal">
      <formula>"No"</formula>
    </cfRule>
  </conditionalFormatting>
  <conditionalFormatting sqref="M45:O53">
    <cfRule type="cellIs" dxfId="20" priority="19" operator="equal">
      <formula>"N/A"</formula>
    </cfRule>
    <cfRule type="cellIs" dxfId="19" priority="20" operator="equal">
      <formula>"Yes"</formula>
    </cfRule>
    <cfRule type="cellIs" dxfId="18" priority="21" operator="equal">
      <formula>"No"</formula>
    </cfRule>
  </conditionalFormatting>
  <conditionalFormatting sqref="M83:O85">
    <cfRule type="cellIs" dxfId="17" priority="16" operator="equal">
      <formula>"N/A"</formula>
    </cfRule>
    <cfRule type="cellIs" dxfId="16" priority="17" operator="equal">
      <formula>"Yes"</formula>
    </cfRule>
    <cfRule type="cellIs" dxfId="15" priority="18" operator="equal">
      <formula>"No"</formula>
    </cfRule>
  </conditionalFormatting>
  <conditionalFormatting sqref="M90:O92">
    <cfRule type="cellIs" dxfId="14" priority="13" operator="equal">
      <formula>"N/A"</formula>
    </cfRule>
    <cfRule type="cellIs" dxfId="13" priority="14" operator="equal">
      <formula>"Yes"</formula>
    </cfRule>
    <cfRule type="cellIs" dxfId="12" priority="15" operator="equal">
      <formula>"No"</formula>
    </cfRule>
  </conditionalFormatting>
  <conditionalFormatting sqref="M95:O97">
    <cfRule type="cellIs" dxfId="11" priority="10" operator="equal">
      <formula>"N/A"</formula>
    </cfRule>
    <cfRule type="cellIs" dxfId="10" priority="11" operator="equal">
      <formula>"Yes"</formula>
    </cfRule>
    <cfRule type="cellIs" dxfId="9" priority="12" operator="equal">
      <formula>"No"</formula>
    </cfRule>
  </conditionalFormatting>
  <conditionalFormatting sqref="M101:O103">
    <cfRule type="cellIs" dxfId="8" priority="7" operator="equal">
      <formula>"N/A"</formula>
    </cfRule>
    <cfRule type="cellIs" dxfId="7" priority="8" operator="equal">
      <formula>"Yes"</formula>
    </cfRule>
    <cfRule type="cellIs" dxfId="6" priority="9" operator="equal">
      <formula>"No"</formula>
    </cfRule>
  </conditionalFormatting>
  <conditionalFormatting sqref="M107:O109">
    <cfRule type="cellIs" dxfId="5" priority="4" operator="equal">
      <formula>"N/A"</formula>
    </cfRule>
    <cfRule type="cellIs" dxfId="4" priority="5" operator="equal">
      <formula>"Yes"</formula>
    </cfRule>
    <cfRule type="cellIs" dxfId="3" priority="6" operator="equal">
      <formula>"No"</formula>
    </cfRule>
  </conditionalFormatting>
  <conditionalFormatting sqref="M113:O115">
    <cfRule type="cellIs" dxfId="2" priority="1" operator="equal">
      <formula>"N/A"</formula>
    </cfRule>
    <cfRule type="cellIs" dxfId="1" priority="2" operator="equal">
      <formula>"Yes"</formula>
    </cfRule>
    <cfRule type="cellIs" dxfId="0" priority="3" operator="equal">
      <formula>"No"</formula>
    </cfRule>
  </conditionalFormatting>
  <dataValidations count="1">
    <dataValidation type="list" allowBlank="1" showErrorMessage="1" sqref="M7:O9 M11:O11 M13:O18 M22:O24 M28:O40 M56:O63 M83:O85 M90:O92 M95:O97 M101:O103 M107:O109 M113:O115 M45:O53" xr:uid="{038BFA62-EF51-4A66-85A7-AF8B9A72B9D5}">
      <formula1>"Yes,No,N/A"</formula1>
    </dataValidation>
  </dataValidations>
  <pageMargins left="0.7" right="0.7" top="0.75" bottom="0.75" header="0.3" footer="0.3"/>
  <pageSetup paperSize="3" scale="65" fitToHeight="0" orientation="landscape" r:id="rId1"/>
  <rowBreaks count="4" manualBreakCount="4">
    <brk id="24" max="15" man="1"/>
    <brk id="40" max="15" man="1"/>
    <brk id="79" max="20" man="1"/>
    <brk id="103"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20AB3-43A2-4125-A662-CC57025C9491}">
  <sheetPr codeName="Sheet2"/>
  <dimension ref="E1:N1000"/>
  <sheetViews>
    <sheetView workbookViewId="0">
      <selection activeCell="G23" sqref="G23"/>
    </sheetView>
  </sheetViews>
  <sheetFormatPr defaultColWidth="14.42578125" defaultRowHeight="15" customHeight="1"/>
  <cols>
    <col min="1" max="4" width="9.85546875" style="50" customWidth="1"/>
    <col min="5" max="5" width="22.28515625" style="50" customWidth="1"/>
    <col min="6" max="6" width="58.28515625" style="50" customWidth="1"/>
    <col min="7" max="7" width="47.7109375" style="50" customWidth="1"/>
    <col min="8" max="12" width="9.85546875" style="50" customWidth="1"/>
    <col min="13" max="13" width="22.140625" style="50" customWidth="1"/>
    <col min="14" max="14" width="25.7109375" style="50" customWidth="1"/>
    <col min="15" max="16384" width="14.42578125" style="50"/>
  </cols>
  <sheetData>
    <row r="1" spans="5:14" ht="14.25" customHeight="1"/>
    <row r="2" spans="5:14" ht="14.25" customHeight="1"/>
    <row r="3" spans="5:14" ht="14.25" customHeight="1"/>
    <row r="4" spans="5:14" ht="14.25" customHeight="1"/>
    <row r="5" spans="5:14" ht="14.25" customHeight="1"/>
    <row r="6" spans="5:14" ht="15" customHeight="1">
      <c r="E6" s="117" t="s">
        <v>133</v>
      </c>
      <c r="F6" s="53" t="s">
        <v>134</v>
      </c>
      <c r="G6" s="53" t="s">
        <v>135</v>
      </c>
    </row>
    <row r="7" spans="5:14" ht="14.25" customHeight="1">
      <c r="E7" s="117"/>
      <c r="F7" s="54" t="s">
        <v>136</v>
      </c>
      <c r="G7" s="54" t="s">
        <v>137</v>
      </c>
    </row>
    <row r="8" spans="5:14" ht="14.25" customHeight="1">
      <c r="E8" s="117"/>
      <c r="F8" s="54" t="s">
        <v>138</v>
      </c>
      <c r="G8" s="54" t="s">
        <v>139</v>
      </c>
    </row>
    <row r="9" spans="5:14" ht="14.25" customHeight="1">
      <c r="E9" s="117"/>
      <c r="F9" s="54" t="s">
        <v>140</v>
      </c>
      <c r="G9" s="54" t="s">
        <v>141</v>
      </c>
      <c r="M9" s="50" t="s">
        <v>142</v>
      </c>
      <c r="N9" s="50" t="s">
        <v>143</v>
      </c>
    </row>
    <row r="10" spans="5:14" ht="14.25" customHeight="1">
      <c r="E10" s="117"/>
      <c r="F10" s="54" t="s">
        <v>144</v>
      </c>
      <c r="G10" s="54" t="s">
        <v>145</v>
      </c>
      <c r="M10" s="50" t="s">
        <v>146</v>
      </c>
      <c r="N10" s="55" t="s">
        <v>133</v>
      </c>
    </row>
    <row r="11" spans="5:14" ht="14.25" customHeight="1">
      <c r="E11" s="117"/>
      <c r="F11" s="54" t="s">
        <v>147</v>
      </c>
      <c r="G11" s="54" t="s">
        <v>148</v>
      </c>
      <c r="M11" s="50" t="s">
        <v>149</v>
      </c>
      <c r="N11" s="54" t="s">
        <v>149</v>
      </c>
    </row>
    <row r="12" spans="5:14" ht="14.25" customHeight="1">
      <c r="E12" s="117"/>
      <c r="F12" s="54" t="s">
        <v>150</v>
      </c>
      <c r="G12" s="54" t="s">
        <v>151</v>
      </c>
      <c r="M12" s="50" t="s">
        <v>152</v>
      </c>
      <c r="N12" s="54" t="s">
        <v>153</v>
      </c>
    </row>
    <row r="13" spans="5:14" ht="14.25" customHeight="1">
      <c r="E13" s="117"/>
      <c r="F13" s="54" t="s">
        <v>154</v>
      </c>
      <c r="G13" s="54" t="s">
        <v>155</v>
      </c>
      <c r="M13" s="50" t="s">
        <v>55</v>
      </c>
      <c r="N13" s="56" t="s">
        <v>55</v>
      </c>
    </row>
    <row r="14" spans="5:14" ht="14.25" customHeight="1">
      <c r="E14" s="117"/>
      <c r="F14" s="54" t="s">
        <v>156</v>
      </c>
      <c r="G14" s="54" t="s">
        <v>141</v>
      </c>
      <c r="M14" s="50" t="s">
        <v>157</v>
      </c>
      <c r="N14" s="56" t="s">
        <v>157</v>
      </c>
    </row>
    <row r="15" spans="5:14" ht="15" customHeight="1">
      <c r="E15" s="117"/>
      <c r="F15" s="54" t="s">
        <v>158</v>
      </c>
      <c r="G15" s="54" t="s">
        <v>159</v>
      </c>
      <c r="M15" s="50" t="s">
        <v>160</v>
      </c>
      <c r="N15" s="56" t="s">
        <v>161</v>
      </c>
    </row>
    <row r="16" spans="5:14" ht="71.25" customHeight="1">
      <c r="E16" s="54" t="s">
        <v>149</v>
      </c>
      <c r="F16" s="54" t="s">
        <v>149</v>
      </c>
      <c r="G16" s="55" t="s">
        <v>162</v>
      </c>
      <c r="M16" s="50" t="s">
        <v>163</v>
      </c>
      <c r="N16" s="56" t="s">
        <v>163</v>
      </c>
    </row>
    <row r="17" spans="5:14" ht="14.25" customHeight="1">
      <c r="E17" s="54" t="s">
        <v>153</v>
      </c>
      <c r="F17" s="54" t="s">
        <v>32</v>
      </c>
      <c r="G17" s="54" t="s">
        <v>164</v>
      </c>
      <c r="M17" s="50" t="s">
        <v>165</v>
      </c>
      <c r="N17" s="56" t="s">
        <v>165</v>
      </c>
    </row>
    <row r="18" spans="5:14" ht="14.25" customHeight="1">
      <c r="E18" s="118" t="s">
        <v>55</v>
      </c>
      <c r="F18" s="54" t="s">
        <v>166</v>
      </c>
      <c r="G18" s="54" t="s">
        <v>167</v>
      </c>
      <c r="M18" s="50" t="s">
        <v>168</v>
      </c>
      <c r="N18" s="56" t="s">
        <v>168</v>
      </c>
    </row>
    <row r="19" spans="5:14" ht="14.25" customHeight="1">
      <c r="E19" s="121"/>
      <c r="F19" s="54" t="s">
        <v>169</v>
      </c>
      <c r="G19" s="54" t="s">
        <v>170</v>
      </c>
      <c r="M19" s="50" t="s">
        <v>171</v>
      </c>
      <c r="N19" s="56" t="s">
        <v>172</v>
      </c>
    </row>
    <row r="20" spans="5:14" ht="14.25" customHeight="1">
      <c r="E20" s="121"/>
      <c r="F20" s="54" t="s">
        <v>173</v>
      </c>
      <c r="G20" s="54" t="s">
        <v>174</v>
      </c>
      <c r="N20" s="58"/>
    </row>
    <row r="21" spans="5:14" ht="14.25" customHeight="1">
      <c r="E21" s="121"/>
      <c r="F21" s="54" t="s">
        <v>175</v>
      </c>
      <c r="G21" s="54" t="s">
        <v>176</v>
      </c>
      <c r="N21" s="58"/>
    </row>
    <row r="22" spans="5:14" ht="14.25" customHeight="1">
      <c r="E22" s="121"/>
      <c r="F22" s="54" t="s">
        <v>177</v>
      </c>
      <c r="G22" s="55" t="s">
        <v>178</v>
      </c>
      <c r="N22" s="58"/>
    </row>
    <row r="23" spans="5:14" ht="14.25" customHeight="1">
      <c r="E23" s="118" t="s">
        <v>157</v>
      </c>
      <c r="F23" s="54" t="s">
        <v>179</v>
      </c>
      <c r="G23" s="55" t="s">
        <v>180</v>
      </c>
    </row>
    <row r="24" spans="5:14" ht="14.25" customHeight="1">
      <c r="E24" s="121"/>
      <c r="F24" s="54" t="s">
        <v>181</v>
      </c>
      <c r="G24" s="55" t="s">
        <v>182</v>
      </c>
    </row>
    <row r="25" spans="5:14" ht="14.25" customHeight="1">
      <c r="E25" s="57" t="s">
        <v>168</v>
      </c>
      <c r="F25" s="54" t="s">
        <v>183</v>
      </c>
      <c r="G25" s="55" t="s">
        <v>184</v>
      </c>
      <c r="N25" s="56"/>
    </row>
    <row r="26" spans="5:14" ht="14.25" customHeight="1">
      <c r="E26" s="118" t="s">
        <v>161</v>
      </c>
      <c r="F26" s="54" t="s">
        <v>185</v>
      </c>
      <c r="G26" s="55" t="s">
        <v>186</v>
      </c>
      <c r="N26" s="56"/>
    </row>
    <row r="27" spans="5:14" ht="14.25" customHeight="1">
      <c r="E27" s="121"/>
      <c r="F27" s="54" t="s">
        <v>187</v>
      </c>
      <c r="G27" s="55" t="s">
        <v>188</v>
      </c>
      <c r="N27" s="56"/>
    </row>
    <row r="28" spans="5:14" ht="14.25" customHeight="1">
      <c r="E28" s="121"/>
      <c r="F28" s="54" t="s">
        <v>189</v>
      </c>
      <c r="G28" s="55" t="s">
        <v>190</v>
      </c>
      <c r="N28" s="56"/>
    </row>
    <row r="29" spans="5:14" ht="14.25" customHeight="1">
      <c r="E29" s="57" t="s">
        <v>163</v>
      </c>
      <c r="F29" s="54" t="s">
        <v>191</v>
      </c>
      <c r="G29" s="55" t="s">
        <v>192</v>
      </c>
      <c r="N29" s="56"/>
    </row>
    <row r="30" spans="5:14" ht="14.25" customHeight="1">
      <c r="E30" s="57" t="s">
        <v>165</v>
      </c>
      <c r="F30" s="54" t="s">
        <v>165</v>
      </c>
      <c r="G30" s="55" t="s">
        <v>193</v>
      </c>
      <c r="N30" s="56"/>
    </row>
    <row r="31" spans="5:14" ht="14.25" customHeight="1">
      <c r="E31" s="118" t="s">
        <v>172</v>
      </c>
      <c r="F31" s="54" t="s">
        <v>194</v>
      </c>
      <c r="G31" s="55" t="s">
        <v>195</v>
      </c>
      <c r="N31" s="56"/>
    </row>
    <row r="32" spans="5:14" ht="14.25" customHeight="1">
      <c r="E32" s="121"/>
      <c r="F32" s="54" t="s">
        <v>196</v>
      </c>
      <c r="G32" s="55" t="s">
        <v>195</v>
      </c>
      <c r="N32" s="56"/>
    </row>
    <row r="33" spans="5:14" ht="14.25" customHeight="1">
      <c r="E33" s="121"/>
      <c r="F33" s="54" t="s">
        <v>197</v>
      </c>
      <c r="G33" s="55" t="s">
        <v>195</v>
      </c>
      <c r="N33" s="56"/>
    </row>
    <row r="34" spans="5:14" ht="14.25" customHeight="1">
      <c r="E34" s="121"/>
      <c r="F34" s="54" t="s">
        <v>165</v>
      </c>
      <c r="G34" s="55" t="s">
        <v>195</v>
      </c>
      <c r="N34" s="56"/>
    </row>
    <row r="35" spans="5:14" ht="14.25" customHeight="1"/>
    <row r="36" spans="5:14" ht="14.25" customHeight="1"/>
    <row r="37" spans="5:14" ht="14.25" customHeight="1"/>
    <row r="38" spans="5:14" ht="14.25" customHeight="1"/>
    <row r="39" spans="5:14" ht="14.25" customHeight="1"/>
    <row r="40" spans="5:14" ht="14.25" customHeight="1"/>
    <row r="41" spans="5:14" ht="14.25" customHeight="1"/>
    <row r="42" spans="5:14" ht="14.25" customHeight="1"/>
    <row r="43" spans="5:14" ht="14.25" customHeight="1"/>
    <row r="44" spans="5:14" ht="14.25" customHeight="1"/>
    <row r="45" spans="5:14" ht="14.25" customHeight="1"/>
    <row r="46" spans="5:14" ht="14.25" customHeight="1"/>
    <row r="47" spans="5:14" ht="14.25" customHeight="1"/>
    <row r="48" spans="5: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JGL0CfgOXVFOFTwcyO/GZiID8+lqSSRr45AH5jnJ8vfvBwkRhOspBFkMA98tp/4FZKuXWsBF4pQqG/sVG87ZuA==" saltValue="I/p4uKG+vFBM5TtSgk0qnw==" spinCount="100000" sheet="1" objects="1" scenarios="1"/>
  <customSheetViews>
    <customSheetView guid="{7200144D-AE9B-4E11-8BC6-1D9089121434}">
      <selection activeCell="G23" sqref="G23"/>
      <pageMargins left="0" right="0" top="0" bottom="0" header="0" footer="0"/>
      <pageSetup orientation="landscape"/>
    </customSheetView>
    <customSheetView guid="{485925E6-5A0B-44C1-BB41-2DC25AF8CB64}">
      <selection activeCell="G23" sqref="G23"/>
      <pageMargins left="0" right="0" top="0" bottom="0" header="0" footer="0"/>
      <pageSetup orientation="landscape"/>
    </customSheetView>
    <customSheetView guid="{E7B40C15-71E1-4B18-97CD-B27D3BA93EEF}">
      <selection activeCell="G23" sqref="G23"/>
      <pageMargins left="0" right="0" top="0" bottom="0" header="0" footer="0"/>
      <pageSetup orientation="landscape"/>
    </customSheetView>
  </customSheetViews>
  <mergeCells count="5">
    <mergeCell ref="E6:E15"/>
    <mergeCell ref="E18:E22"/>
    <mergeCell ref="E23:E24"/>
    <mergeCell ref="E26:E28"/>
    <mergeCell ref="E31:E34"/>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EC12D80AD277A408AC9EE9A198D4CEB" ma:contentTypeVersion="3" ma:contentTypeDescription="Create a new document." ma:contentTypeScope="" ma:versionID="b8cd0751443f9cb79a33386ad0261f7c">
  <xsd:schema xmlns:xsd="http://www.w3.org/2001/XMLSchema" xmlns:xs="http://www.w3.org/2001/XMLSchema" xmlns:p="http://schemas.microsoft.com/office/2006/metadata/properties" xmlns:ns2="1b3d91b5-987c-4d8a-9287-d441409a189c" targetNamespace="http://schemas.microsoft.com/office/2006/metadata/properties" ma:root="true" ma:fieldsID="46160fd9988a084ad6015fd7966f72a6" ns2:_="">
    <xsd:import namespace="1b3d91b5-987c-4d8a-9287-d441409a189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3d91b5-987c-4d8a-9287-d441409a18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50B708-7019-4573-AA3E-972867B1FB30}"/>
</file>

<file path=customXml/itemProps2.xml><?xml version="1.0" encoding="utf-8"?>
<ds:datastoreItem xmlns:ds="http://schemas.openxmlformats.org/officeDocument/2006/customXml" ds:itemID="{FEDFA654-B358-4C16-9A62-E6C3FC9F1107}"/>
</file>

<file path=customXml/itemProps3.xml><?xml version="1.0" encoding="utf-8"?>
<ds:datastoreItem xmlns:ds="http://schemas.openxmlformats.org/officeDocument/2006/customXml" ds:itemID="{47B87D4D-EAF7-44D1-B8DD-E8F7489D63F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Carnivale</dc:creator>
  <cp:keywords/>
  <dc:description/>
  <cp:lastModifiedBy/>
  <cp:revision/>
  <dcterms:created xsi:type="dcterms:W3CDTF">2017-09-21T19:48:25Z</dcterms:created>
  <dcterms:modified xsi:type="dcterms:W3CDTF">2026-01-31T19:27:28Z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0x0101008EC12D80AD277A408AC9EE9A198D4CEB</vt:lpwstr>
  </property>
</Properties>
</file>