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hilscher\Downloads\"/>
    </mc:Choice>
  </mc:AlternateContent>
  <xr:revisionPtr revIDLastSave="226" documentId="13_ncr:1_{80447B04-C555-4766-9596-44708ABE3CBB}" xr6:coauthVersionLast="47" xr6:coauthVersionMax="47" xr10:uidLastSave="{1F4B513B-ACB4-4407-8686-7CDD418A5031}"/>
  <bookViews>
    <workbookView xWindow="-28920" yWindow="-120" windowWidth="29040" windowHeight="15720" firstSheet="1" xr2:uid="{00000000-000D-0000-FFFF-FFFF00000000}"/>
  </bookViews>
  <sheets>
    <sheet name="Hull Thickness Inputs" sheetId="4" r:id="rId1"/>
    <sheet name="POA Inputs " sheetId="5" r:id="rId2"/>
  </sheets>
  <definedNames>
    <definedName name="_xlnm.Print_Area" localSheetId="0">'Hull Thickness Inputs'!$A$1:$Q$21</definedName>
    <definedName name="_xlnm.Print_Area" localSheetId="1">'POA Inputs '!$A$1:$F$25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5" l="1"/>
  <c r="F21" i="5"/>
  <c r="F14" i="4"/>
  <c r="F19" i="4" s="1"/>
  <c r="F20" i="4" s="1"/>
  <c r="F9" i="5" l="1"/>
  <c r="F8" i="5"/>
  <c r="F19" i="5" s="1"/>
  <c r="F24" i="5" s="1"/>
</calcChain>
</file>

<file path=xl/sharedStrings.xml><?xml version="1.0" encoding="utf-8"?>
<sst xmlns="http://schemas.openxmlformats.org/spreadsheetml/2006/main" count="74" uniqueCount="52">
  <si>
    <t>School Name:</t>
  </si>
  <si>
    <t>Northern Arizona University</t>
  </si>
  <si>
    <t>Canoe Name:</t>
  </si>
  <si>
    <t>Pluto</t>
  </si>
  <si>
    <t>Section Identifier:</t>
  </si>
  <si>
    <t>CANOE WALLS/ ALL RIENFORCED SECTIONS</t>
  </si>
  <si>
    <t>Hull Thickness to Reinforcement Ratio</t>
  </si>
  <si>
    <t>Reinforcement Identifier</t>
  </si>
  <si>
    <t>Thickness (in)</t>
  </si>
  <si>
    <t>FROM MTDS:</t>
  </si>
  <si>
    <t>CSS-BCG Bidirectional Carbon Grid</t>
  </si>
  <si>
    <t>Equivalent Dry Fabric Thickness (in)=</t>
  </si>
  <si>
    <t>Reinforcement #2</t>
  </si>
  <si>
    <t>-</t>
  </si>
  <si>
    <t>Reinforcement #3</t>
  </si>
  <si>
    <t>Composite Percent= (Total Rienf. Thickness/ Section Thickness)*100</t>
  </si>
  <si>
    <t>Reinforcement #4</t>
  </si>
  <si>
    <t>Reinforcement #5</t>
  </si>
  <si>
    <t>Reinforcement #6</t>
  </si>
  <si>
    <t>Reinforcement #7</t>
  </si>
  <si>
    <t>Total Reinforcement Thickness</t>
  </si>
  <si>
    <t>Reinforcement Total Thickness (in)</t>
  </si>
  <si>
    <t>Section Thickness</t>
  </si>
  <si>
    <t>Total Composite Thickness (in)</t>
  </si>
  <si>
    <t>Verification</t>
  </si>
  <si>
    <t>Composite Ratio</t>
  </si>
  <si>
    <t>Composite Percent</t>
  </si>
  <si>
    <t>0.34% &lt; 50%, Compliant</t>
  </si>
  <si>
    <t>Percent Open Area</t>
  </si>
  <si>
    <t>(in)</t>
  </si>
  <si>
    <t>CSS-BCG Bidirectional Carbon Grid Length (Total)</t>
  </si>
  <si>
    <t>Area by Width of Rienforcement (in^2/in)=</t>
  </si>
  <si>
    <t>CSS-BCG Bidirectional Carbon Grid Width (Total)</t>
  </si>
  <si>
    <t>Length/Width Rienforcement (in/in)=</t>
  </si>
  <si>
    <t>CSS-BCG Bidirectional Carbon Grid Length (Open)</t>
  </si>
  <si>
    <t>Length/Width Open Area (in/in)=</t>
  </si>
  <si>
    <t>CSS-BCG Bidirectional Carbon Grid Width (Open)</t>
  </si>
  <si>
    <t>Reinforcement #2 Length (Total)</t>
  </si>
  <si>
    <t>POA= (Total Open Area/ Total Specimen Area)*100</t>
  </si>
  <si>
    <t>Reinforcement #2 Width (Total)</t>
  </si>
  <si>
    <t>Reinforcement #2 Length (Open)</t>
  </si>
  <si>
    <t>Reinforcement #2 Width (Open)</t>
  </si>
  <si>
    <t>Reinforcement #3 Length (Total)</t>
  </si>
  <si>
    <t>Reinforcement #3 Width (Total)</t>
  </si>
  <si>
    <t>Reinforcement #3 Length (Open)</t>
  </si>
  <si>
    <t>Reinforcement #3 Width (Open)</t>
  </si>
  <si>
    <t>Total Open Area</t>
  </si>
  <si>
    <t>Cumulative Open Area</t>
  </si>
  <si>
    <t>Total Specimen Area</t>
  </si>
  <si>
    <t>Cumulative Speciman Area</t>
  </si>
  <si>
    <t>Speciman Percent</t>
  </si>
  <si>
    <t>92% &gt; 40%, Compliant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</si>
</sst>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</font>
    <font>
      <i/>
      <sz val="11"/>
      <color rgb="FF000000"/>
      <name val="Calibri"/>
      <family val="2"/>
    </font>
    <font>
      <sz val="8"/>
      <name val="Calibri"/>
      <family val="2"/>
      <scheme val="minor"/>
    </font>
    <font>
      <b/>
      <i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rgb="FFFFC000"/>
      </patternFill>
    </fill>
    <fill>
      <patternFill patternType="solid">
        <fgColor theme="9" tint="0.59999389629810485"/>
        <bgColor indexed="64"/>
      </patternFill>
    </fill>
  </fills>
  <borders count="18">
    <border>
      <left/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rgb="FF000000"/>
      </right>
      <top/>
      <bottom/>
      <diagonal/>
    </border>
    <border>
      <left/>
      <right/>
      <top style="hair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indexed="64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/>
  </cellStyleXfs>
  <cellXfs count="51">
    <xf numFmtId="0" fontId="0" fillId="0" borderId="0" xfId="0"/>
    <xf numFmtId="16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2" fontId="4" fillId="0" borderId="0" xfId="0" applyNumberFormat="1" applyFont="1" applyAlignment="1">
      <alignment horizontal="center" vertical="center"/>
    </xf>
    <xf numFmtId="2" fontId="2" fillId="2" borderId="2" xfId="0" applyNumberFormat="1" applyFont="1" applyFill="1" applyBorder="1" applyAlignment="1" applyProtection="1">
      <alignment horizontal="center" vertical="center"/>
      <protection locked="0"/>
    </xf>
    <xf numFmtId="0" fontId="1" fillId="0" borderId="0" xfId="0" applyFont="1" applyAlignment="1">
      <alignment vertical="center"/>
    </xf>
    <xf numFmtId="2" fontId="2" fillId="3" borderId="1" xfId="0" applyNumberFormat="1" applyFont="1" applyFill="1" applyBorder="1" applyAlignment="1">
      <alignment horizontal="center" vertical="center"/>
    </xf>
    <xf numFmtId="2" fontId="7" fillId="5" borderId="6" xfId="1" applyNumberFormat="1" applyFont="1" applyFill="1" applyBorder="1" applyAlignment="1">
      <alignment horizontal="center" vertical="center"/>
    </xf>
    <xf numFmtId="2" fontId="6" fillId="0" borderId="0" xfId="1" applyNumberFormat="1" applyFont="1" applyAlignment="1">
      <alignment horizontal="center" vertical="center"/>
    </xf>
    <xf numFmtId="2" fontId="7" fillId="0" borderId="0" xfId="1" applyNumberFormat="1" applyFont="1" applyAlignment="1">
      <alignment horizontal="center" vertical="center"/>
    </xf>
    <xf numFmtId="0" fontId="9" fillId="0" borderId="0" xfId="0" applyFont="1" applyAlignment="1">
      <alignment vertical="center"/>
    </xf>
    <xf numFmtId="0" fontId="3" fillId="2" borderId="3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8" xfId="0" applyFont="1" applyFill="1" applyBorder="1" applyAlignment="1">
      <alignment horizontal="left" vertical="center"/>
    </xf>
    <xf numFmtId="0" fontId="3" fillId="2" borderId="12" xfId="0" applyFont="1" applyFill="1" applyBorder="1" applyAlignment="1">
      <alignment horizontal="left" vertical="center"/>
    </xf>
    <xf numFmtId="0" fontId="3" fillId="2" borderId="13" xfId="0" applyFont="1" applyFill="1" applyBorder="1" applyAlignment="1">
      <alignment horizontal="left" vertical="center"/>
    </xf>
    <xf numFmtId="2" fontId="2" fillId="2" borderId="1" xfId="0" applyNumberFormat="1" applyFont="1" applyFill="1" applyBorder="1" applyAlignment="1" applyProtection="1">
      <alignment horizontal="center" vertical="center"/>
      <protection locked="0"/>
    </xf>
    <xf numFmtId="0" fontId="3" fillId="2" borderId="14" xfId="0" applyFont="1" applyFill="1" applyBorder="1" applyAlignment="1">
      <alignment horizontal="left" vertical="center"/>
    </xf>
    <xf numFmtId="0" fontId="3" fillId="2" borderId="15" xfId="0" applyFont="1" applyFill="1" applyBorder="1" applyAlignment="1">
      <alignment horizontal="left" vertical="center"/>
    </xf>
    <xf numFmtId="0" fontId="3" fillId="2" borderId="16" xfId="0" applyFont="1" applyFill="1" applyBorder="1" applyAlignment="1">
      <alignment horizontal="left" vertical="center"/>
    </xf>
    <xf numFmtId="2" fontId="2" fillId="2" borderId="11" xfId="0" applyNumberFormat="1" applyFont="1" applyFill="1" applyBorder="1" applyAlignment="1" applyProtection="1">
      <alignment horizontal="center" vertical="center"/>
      <protection locked="0"/>
    </xf>
    <xf numFmtId="165" fontId="2" fillId="2" borderId="2" xfId="0" applyNumberFormat="1" applyFont="1" applyFill="1" applyBorder="1" applyAlignment="1" applyProtection="1">
      <alignment horizontal="center" vertical="center"/>
      <protection locked="0"/>
    </xf>
    <xf numFmtId="165" fontId="2" fillId="3" borderId="1" xfId="0" applyNumberFormat="1" applyFont="1" applyFill="1" applyBorder="1" applyAlignment="1">
      <alignment horizontal="center" vertical="center"/>
    </xf>
    <xf numFmtId="165" fontId="7" fillId="5" borderId="7" xfId="1" applyNumberFormat="1" applyFont="1" applyFill="1" applyBorder="1" applyAlignment="1">
      <alignment horizontal="center" vertical="center"/>
    </xf>
    <xf numFmtId="164" fontId="1" fillId="6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3" fillId="2" borderId="3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3" fillId="2" borderId="8" xfId="0" applyFont="1" applyFill="1" applyBorder="1" applyAlignment="1">
      <alignment horizontal="left" vertical="center"/>
    </xf>
    <xf numFmtId="0" fontId="3" fillId="2" borderId="12" xfId="0" applyFont="1" applyFill="1" applyBorder="1" applyAlignment="1">
      <alignment horizontal="left" vertical="center"/>
    </xf>
    <xf numFmtId="0" fontId="3" fillId="2" borderId="13" xfId="0" applyFont="1" applyFill="1" applyBorder="1" applyAlignment="1">
      <alignment horizontal="left" vertical="center"/>
    </xf>
    <xf numFmtId="0" fontId="0" fillId="2" borderId="3" xfId="0" applyFont="1" applyFill="1" applyBorder="1" applyAlignment="1">
      <alignment horizontal="left" vertical="center"/>
    </xf>
    <xf numFmtId="0" fontId="0" fillId="2" borderId="4" xfId="0" applyFont="1" applyFill="1" applyBorder="1" applyAlignment="1">
      <alignment horizontal="left" vertical="center"/>
    </xf>
    <xf numFmtId="0" fontId="0" fillId="2" borderId="5" xfId="0" applyFont="1" applyFill="1" applyBorder="1" applyAlignment="1">
      <alignment horizontal="left" vertical="center"/>
    </xf>
    <xf numFmtId="0" fontId="1" fillId="0" borderId="17" xfId="0" applyFont="1" applyBorder="1" applyAlignment="1">
      <alignment vertical="center"/>
    </xf>
    <xf numFmtId="0" fontId="4" fillId="2" borderId="12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left" vertical="center"/>
    </xf>
  </cellXfs>
  <cellStyles count="2">
    <cellStyle name="Normal" xfId="0" builtinId="0"/>
    <cellStyle name="Normal 2" xfId="1" xr:uid="{474FF079-B372-4C3E-950E-3C7C34A54C93}"/>
  </cellStyles>
  <dxfs count="0"/>
  <tableStyles count="0" defaultTableStyle="TableStyleMedium2" defaultPivotStyle="PivotStyleLight16"/>
  <colors>
    <mruColors>
      <color rgb="FFEADBF5"/>
      <color rgb="FFDAC1ED"/>
      <color rgb="FFC9A4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35E35-39CC-4B8B-8601-458AC8BB1E1A}">
  <dimension ref="C1:W21"/>
  <sheetViews>
    <sheetView tabSelected="1" topLeftCell="B1" zoomScale="85" zoomScaleNormal="85" workbookViewId="0">
      <selection activeCell="J15" sqref="J15"/>
    </sheetView>
  </sheetViews>
  <sheetFormatPr defaultColWidth="8.85546875" defaultRowHeight="15"/>
  <cols>
    <col min="1" max="1" width="0" style="3" hidden="1" customWidth="1"/>
    <col min="2" max="2" width="3" style="3" customWidth="1"/>
    <col min="3" max="3" width="21.7109375" style="3" customWidth="1"/>
    <col min="4" max="4" width="5.7109375" style="3" customWidth="1"/>
    <col min="5" max="5" width="9.7109375" style="3" customWidth="1"/>
    <col min="6" max="6" width="25.28515625" style="3" customWidth="1"/>
    <col min="7" max="7" width="3.28515625" style="3" customWidth="1"/>
    <col min="8" max="8" width="59.28515625" style="3" customWidth="1"/>
    <col min="9" max="9" width="8.7109375" style="3" customWidth="1"/>
    <col min="10" max="10" width="9.7109375" style="3" customWidth="1"/>
    <col min="11" max="11" width="15.7109375" style="3" customWidth="1"/>
    <col min="12" max="12" width="3.28515625" style="3" customWidth="1"/>
    <col min="13" max="13" width="21.7109375" style="3" customWidth="1"/>
    <col min="14" max="14" width="5.7109375" style="3" customWidth="1"/>
    <col min="15" max="15" width="9.7109375" style="3" customWidth="1"/>
    <col min="16" max="16" width="15.7109375" style="3" customWidth="1"/>
    <col min="17" max="17" width="3.28515625" style="3" customWidth="1"/>
    <col min="18" max="19" width="13.7109375" style="3" customWidth="1"/>
    <col min="20" max="16384" width="8.85546875" style="3"/>
  </cols>
  <sheetData>
    <row r="1" spans="3:23" ht="18.75">
      <c r="C1" s="16" t="s">
        <v>0</v>
      </c>
      <c r="D1" s="49" t="s">
        <v>1</v>
      </c>
      <c r="E1" s="49"/>
      <c r="F1" s="49"/>
      <c r="G1" s="2"/>
    </row>
    <row r="2" spans="3:23" ht="18.75">
      <c r="C2" s="16" t="s">
        <v>2</v>
      </c>
      <c r="D2" s="50" t="s">
        <v>3</v>
      </c>
      <c r="E2" s="50"/>
      <c r="F2" s="50"/>
      <c r="G2" s="2"/>
    </row>
    <row r="3" spans="3:23" ht="18.75">
      <c r="C3" s="16" t="s">
        <v>4</v>
      </c>
      <c r="D3" s="45" t="s">
        <v>5</v>
      </c>
      <c r="E3" s="46"/>
      <c r="F3" s="47"/>
      <c r="G3" s="6"/>
    </row>
    <row r="4" spans="3:23" s="2" customFormat="1" ht="21" customHeight="1">
      <c r="C4" s="40" t="s">
        <v>6</v>
      </c>
      <c r="D4" s="40"/>
      <c r="E4" s="41"/>
      <c r="F4" s="41"/>
      <c r="G4" s="14"/>
      <c r="H4" s="3"/>
      <c r="I4" s="3"/>
      <c r="J4" s="3"/>
      <c r="K4" s="3"/>
      <c r="L4" s="3"/>
      <c r="M4" s="3"/>
      <c r="N4" s="3"/>
      <c r="O4" s="3"/>
      <c r="P4" s="3"/>
    </row>
    <row r="5" spans="3:23" ht="21" customHeight="1">
      <c r="C5" s="36" t="s">
        <v>7</v>
      </c>
      <c r="D5" s="36"/>
      <c r="E5" s="37"/>
      <c r="F5" s="6" t="s">
        <v>8</v>
      </c>
      <c r="G5" s="4"/>
      <c r="H5" s="48" t="s">
        <v>9</v>
      </c>
    </row>
    <row r="6" spans="3:23" ht="21" customHeight="1">
      <c r="C6" s="33" t="s">
        <v>10</v>
      </c>
      <c r="D6" s="34"/>
      <c r="E6" s="35"/>
      <c r="F6" s="28">
        <v>1.6999999999999999E-3</v>
      </c>
      <c r="G6" s="6"/>
      <c r="H6" s="48" t="s">
        <v>11</v>
      </c>
      <c r="I6" s="48">
        <v>1.6999999999999999E-3</v>
      </c>
    </row>
    <row r="7" spans="3:23" ht="21" customHeight="1">
      <c r="C7" s="33" t="s">
        <v>12</v>
      </c>
      <c r="D7" s="34"/>
      <c r="E7" s="35"/>
      <c r="F7" s="10" t="s">
        <v>13</v>
      </c>
      <c r="G7" s="15"/>
    </row>
    <row r="8" spans="3:23" ht="21" customHeight="1">
      <c r="C8" s="33" t="s">
        <v>14</v>
      </c>
      <c r="D8" s="34"/>
      <c r="E8" s="35"/>
      <c r="F8" s="10" t="s">
        <v>13</v>
      </c>
      <c r="G8" s="15"/>
      <c r="H8" s="3" t="s">
        <v>15</v>
      </c>
    </row>
    <row r="9" spans="3:23" ht="21" customHeight="1">
      <c r="C9" s="33" t="s">
        <v>16</v>
      </c>
      <c r="D9" s="34"/>
      <c r="E9" s="35"/>
      <c r="F9" s="10" t="s">
        <v>13</v>
      </c>
      <c r="G9" s="7"/>
    </row>
    <row r="10" spans="3:23" ht="21" customHeight="1">
      <c r="C10" s="33" t="s">
        <v>17</v>
      </c>
      <c r="D10" s="34"/>
      <c r="E10" s="35"/>
      <c r="F10" s="10" t="s">
        <v>13</v>
      </c>
      <c r="R10" s="4"/>
    </row>
    <row r="11" spans="3:23" ht="21" customHeight="1">
      <c r="C11" s="33" t="s">
        <v>18</v>
      </c>
      <c r="D11" s="34"/>
      <c r="E11" s="35"/>
      <c r="F11" s="10" t="s">
        <v>13</v>
      </c>
    </row>
    <row r="12" spans="3:23" ht="21" customHeight="1">
      <c r="C12" s="33" t="s">
        <v>19</v>
      </c>
      <c r="D12" s="34"/>
      <c r="E12" s="35"/>
      <c r="F12" s="10" t="s">
        <v>13</v>
      </c>
      <c r="R12" s="2"/>
      <c r="S12" s="2"/>
      <c r="T12" s="2"/>
      <c r="U12" s="2"/>
      <c r="V12" s="2"/>
      <c r="W12" s="2"/>
    </row>
    <row r="13" spans="3:23" ht="21" customHeight="1">
      <c r="C13" s="40" t="s">
        <v>20</v>
      </c>
      <c r="D13" s="40"/>
      <c r="E13" s="41"/>
      <c r="F13" s="41"/>
      <c r="R13" s="4"/>
    </row>
    <row r="14" spans="3:23" ht="21" customHeight="1">
      <c r="C14" s="33" t="s">
        <v>21</v>
      </c>
      <c r="D14" s="34"/>
      <c r="E14" s="35"/>
      <c r="F14" s="29">
        <f>SUM(F6:F12)</f>
        <v>1.6999999999999999E-3</v>
      </c>
      <c r="R14" s="5"/>
    </row>
    <row r="15" spans="3:23" s="2" customFormat="1" ht="21" customHeight="1">
      <c r="C15" s="40" t="s">
        <v>22</v>
      </c>
      <c r="D15" s="40"/>
      <c r="E15" s="41"/>
      <c r="F15" s="41"/>
      <c r="G15" s="3"/>
      <c r="H15" s="3"/>
      <c r="I15" s="3"/>
      <c r="J15" s="3"/>
      <c r="K15" s="3"/>
      <c r="L15" s="3"/>
      <c r="M15" s="3"/>
      <c r="N15" s="3"/>
      <c r="O15" s="3"/>
      <c r="P15" s="3"/>
      <c r="R15" s="3"/>
      <c r="S15" s="3"/>
      <c r="T15" s="3"/>
      <c r="U15" s="3"/>
      <c r="V15" s="3"/>
      <c r="W15" s="3"/>
    </row>
    <row r="16" spans="3:23" ht="21" customHeight="1">
      <c r="C16" s="33" t="s">
        <v>23</v>
      </c>
      <c r="D16" s="34"/>
      <c r="E16" s="35"/>
      <c r="F16" s="12">
        <v>0.5</v>
      </c>
    </row>
    <row r="17" spans="3:17" ht="21" customHeight="1">
      <c r="D17" s="4"/>
      <c r="E17" s="4"/>
      <c r="F17" s="4"/>
    </row>
    <row r="18" spans="3:17" ht="21" customHeight="1">
      <c r="C18" s="40" t="s">
        <v>24</v>
      </c>
      <c r="D18" s="40"/>
      <c r="E18" s="40"/>
      <c r="F18" s="40"/>
      <c r="Q18" s="6"/>
    </row>
    <row r="19" spans="3:17" ht="21" customHeight="1">
      <c r="C19" s="38" t="s">
        <v>25</v>
      </c>
      <c r="D19" s="38"/>
      <c r="E19" s="39"/>
      <c r="F19" s="30">
        <f>F14/F16</f>
        <v>3.3999999999999998E-3</v>
      </c>
      <c r="Q19" s="9"/>
    </row>
    <row r="20" spans="3:17" ht="21" customHeight="1">
      <c r="C20" s="38" t="s">
        <v>26</v>
      </c>
      <c r="D20" s="38"/>
      <c r="E20" s="39"/>
      <c r="F20" s="13">
        <f>F19*100</f>
        <v>0.33999999999999997</v>
      </c>
      <c r="Q20" s="1"/>
    </row>
    <row r="21" spans="3:17" ht="21" customHeight="1">
      <c r="C21" s="8"/>
      <c r="D21" s="11"/>
      <c r="F21" s="31" t="s">
        <v>27</v>
      </c>
    </row>
  </sheetData>
  <mergeCells count="19">
    <mergeCell ref="C14:E14"/>
    <mergeCell ref="C13:F13"/>
    <mergeCell ref="C9:E9"/>
    <mergeCell ref="C10:E10"/>
    <mergeCell ref="C11:E11"/>
    <mergeCell ref="C12:E12"/>
    <mergeCell ref="C20:E20"/>
    <mergeCell ref="C19:E19"/>
    <mergeCell ref="C18:F18"/>
    <mergeCell ref="C15:F15"/>
    <mergeCell ref="C16:E16"/>
    <mergeCell ref="D1:F1"/>
    <mergeCell ref="D2:F2"/>
    <mergeCell ref="C7:E7"/>
    <mergeCell ref="C8:E8"/>
    <mergeCell ref="C5:E5"/>
    <mergeCell ref="C4:F4"/>
    <mergeCell ref="D3:F3"/>
    <mergeCell ref="C6:E6"/>
  </mergeCells>
  <phoneticPr fontId="8" type="noConversion"/>
  <pageMargins left="0.7" right="0.7" top="0.75" bottom="0.75" header="0.3" footer="0.3"/>
  <pageSetup scale="52" orientation="portrait" r:id="rId1"/>
  <colBreaks count="1" manualBreakCount="1">
    <brk id="17" max="19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7DF19-DBEA-418C-9F9F-95E6E51ABD9F}">
  <dimension ref="C1:W25"/>
  <sheetViews>
    <sheetView topLeftCell="B1" zoomScale="85" zoomScaleNormal="85" workbookViewId="0">
      <selection activeCell="H5" sqref="H5:I6"/>
    </sheetView>
  </sheetViews>
  <sheetFormatPr defaultColWidth="8.85546875" defaultRowHeight="15"/>
  <cols>
    <col min="1" max="1" width="0" style="3" hidden="1" customWidth="1"/>
    <col min="2" max="2" width="3" style="3" customWidth="1"/>
    <col min="3" max="3" width="21.7109375" style="3" customWidth="1"/>
    <col min="4" max="4" width="5.7109375" style="3" customWidth="1"/>
    <col min="5" max="5" width="17.140625" style="3" customWidth="1"/>
    <col min="6" max="6" width="28.140625" style="3" customWidth="1"/>
    <col min="7" max="7" width="3.28515625" style="3" customWidth="1"/>
    <col min="8" max="8" width="45" style="3" customWidth="1"/>
    <col min="9" max="9" width="10.28515625" style="3" customWidth="1"/>
    <col min="10" max="10" width="9.7109375" style="3" customWidth="1"/>
    <col min="11" max="11" width="15.7109375" style="3" customWidth="1"/>
    <col min="12" max="12" width="3.28515625" style="3" customWidth="1"/>
    <col min="13" max="13" width="21.7109375" style="3" customWidth="1"/>
    <col min="14" max="14" width="5.7109375" style="3" customWidth="1"/>
    <col min="15" max="15" width="9.7109375" style="3" customWidth="1"/>
    <col min="16" max="16" width="15.7109375" style="3" customWidth="1"/>
    <col min="17" max="17" width="3.28515625" style="3" customWidth="1"/>
    <col min="18" max="19" width="13.7109375" style="3" customWidth="1"/>
    <col min="20" max="16384" width="8.85546875" style="3"/>
  </cols>
  <sheetData>
    <row r="1" spans="3:23" ht="18.75">
      <c r="C1" s="16" t="s">
        <v>0</v>
      </c>
      <c r="D1" s="32" t="s">
        <v>1</v>
      </c>
      <c r="E1" s="32"/>
      <c r="F1" s="32"/>
    </row>
    <row r="2" spans="3:23" ht="18.75">
      <c r="C2" s="16" t="s">
        <v>2</v>
      </c>
      <c r="D2" s="32" t="s">
        <v>3</v>
      </c>
      <c r="E2" s="32"/>
      <c r="F2" s="32"/>
    </row>
    <row r="3" spans="3:23" ht="18.75">
      <c r="C3" s="16" t="s">
        <v>4</v>
      </c>
      <c r="D3" s="45" t="s">
        <v>5</v>
      </c>
      <c r="E3" s="46"/>
      <c r="F3" s="47"/>
    </row>
    <row r="4" spans="3:23" s="2" customFormat="1" ht="21" customHeight="1">
      <c r="C4" s="40" t="s">
        <v>28</v>
      </c>
      <c r="D4" s="40"/>
      <c r="E4" s="41"/>
      <c r="F4" s="41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3:23" ht="21" customHeight="1">
      <c r="C5" s="36" t="s">
        <v>7</v>
      </c>
      <c r="D5" s="36"/>
      <c r="E5" s="37"/>
      <c r="F5" s="6" t="s">
        <v>29</v>
      </c>
      <c r="H5" s="48" t="s">
        <v>9</v>
      </c>
    </row>
    <row r="6" spans="3:23" ht="21" customHeight="1">
      <c r="C6" s="33" t="s">
        <v>30</v>
      </c>
      <c r="D6" s="34"/>
      <c r="E6" s="35"/>
      <c r="F6" s="10">
        <v>216</v>
      </c>
      <c r="H6" s="48" t="s">
        <v>31</v>
      </c>
      <c r="I6" s="48">
        <v>1.6999999999999999E-3</v>
      </c>
    </row>
    <row r="7" spans="3:23" ht="21" customHeight="1">
      <c r="C7" s="33" t="s">
        <v>32</v>
      </c>
      <c r="D7" s="34"/>
      <c r="E7" s="35"/>
      <c r="F7" s="10">
        <v>18</v>
      </c>
      <c r="H7" s="48" t="s">
        <v>33</v>
      </c>
      <c r="I7" s="48">
        <v>0.04</v>
      </c>
    </row>
    <row r="8" spans="3:23" ht="21" customHeight="1">
      <c r="C8" s="33" t="s">
        <v>34</v>
      </c>
      <c r="D8" s="34"/>
      <c r="E8" s="35"/>
      <c r="F8" s="10">
        <f>I8*F6</f>
        <v>207.35999999999999</v>
      </c>
      <c r="H8" s="48" t="s">
        <v>35</v>
      </c>
      <c r="I8" s="48">
        <f>1-I7</f>
        <v>0.96</v>
      </c>
    </row>
    <row r="9" spans="3:23" ht="21" customHeight="1">
      <c r="C9" s="33" t="s">
        <v>36</v>
      </c>
      <c r="D9" s="34"/>
      <c r="E9" s="35"/>
      <c r="F9" s="27">
        <f>I8*F7</f>
        <v>17.28</v>
      </c>
    </row>
    <row r="10" spans="3:23" ht="21" customHeight="1">
      <c r="C10" s="42" t="s">
        <v>37</v>
      </c>
      <c r="D10" s="43"/>
      <c r="E10" s="44"/>
      <c r="F10" s="23" t="s">
        <v>13</v>
      </c>
      <c r="H10" s="3" t="s">
        <v>38</v>
      </c>
    </row>
    <row r="11" spans="3:23" ht="21" customHeight="1">
      <c r="C11" s="17" t="s">
        <v>39</v>
      </c>
      <c r="D11" s="18"/>
      <c r="E11" s="19"/>
      <c r="F11" s="10" t="s">
        <v>13</v>
      </c>
    </row>
    <row r="12" spans="3:23" ht="21" customHeight="1">
      <c r="C12" s="33" t="s">
        <v>40</v>
      </c>
      <c r="D12" s="34"/>
      <c r="E12" s="35"/>
      <c r="F12" s="10" t="s">
        <v>13</v>
      </c>
    </row>
    <row r="13" spans="3:23" ht="21" customHeight="1">
      <c r="C13" s="24" t="s">
        <v>41</v>
      </c>
      <c r="D13" s="25"/>
      <c r="E13" s="26"/>
      <c r="F13" s="27" t="s">
        <v>13</v>
      </c>
    </row>
    <row r="14" spans="3:23" ht="21" customHeight="1">
      <c r="C14" s="20" t="s">
        <v>42</v>
      </c>
      <c r="D14" s="21"/>
      <c r="E14" s="22"/>
      <c r="F14" s="23" t="s">
        <v>13</v>
      </c>
    </row>
    <row r="15" spans="3:23" ht="21" customHeight="1">
      <c r="C15" s="17" t="s">
        <v>43</v>
      </c>
      <c r="D15" s="18"/>
      <c r="E15" s="19"/>
      <c r="F15" s="10" t="s">
        <v>13</v>
      </c>
    </row>
    <row r="16" spans="3:23" ht="21" customHeight="1">
      <c r="C16" s="17" t="s">
        <v>44</v>
      </c>
      <c r="D16" s="18"/>
      <c r="E16" s="19"/>
      <c r="F16" s="10" t="s">
        <v>13</v>
      </c>
    </row>
    <row r="17" spans="3:23" ht="21" customHeight="1">
      <c r="C17" s="24" t="s">
        <v>45</v>
      </c>
      <c r="D17" s="25"/>
      <c r="E17" s="26"/>
      <c r="F17" s="27" t="s">
        <v>13</v>
      </c>
    </row>
    <row r="18" spans="3:23" ht="21" customHeight="1">
      <c r="C18" s="40" t="s">
        <v>46</v>
      </c>
      <c r="D18" s="40"/>
      <c r="E18" s="41"/>
      <c r="F18" s="41"/>
    </row>
    <row r="19" spans="3:23" ht="21" customHeight="1">
      <c r="C19" s="33" t="s">
        <v>47</v>
      </c>
      <c r="D19" s="34"/>
      <c r="E19" s="35"/>
      <c r="F19" s="12">
        <f>F8*F9</f>
        <v>3583.1808000000001</v>
      </c>
    </row>
    <row r="20" spans="3:23" s="2" customFormat="1" ht="21" customHeight="1">
      <c r="C20" s="40" t="s">
        <v>48</v>
      </c>
      <c r="D20" s="40"/>
      <c r="E20" s="41"/>
      <c r="F20" s="41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3:23" ht="21" customHeight="1">
      <c r="C21" s="33" t="s">
        <v>49</v>
      </c>
      <c r="D21" s="34"/>
      <c r="E21" s="35"/>
      <c r="F21" s="12">
        <f>F6*F7</f>
        <v>3888</v>
      </c>
    </row>
    <row r="22" spans="3:23" ht="21" customHeight="1">
      <c r="D22" s="4"/>
      <c r="E22" s="4"/>
      <c r="F22" s="4"/>
    </row>
    <row r="23" spans="3:23" ht="21" customHeight="1">
      <c r="C23" s="40" t="s">
        <v>24</v>
      </c>
      <c r="D23" s="40"/>
      <c r="E23" s="40"/>
      <c r="F23" s="40"/>
    </row>
    <row r="24" spans="3:23" ht="21" customHeight="1">
      <c r="C24" s="38" t="s">
        <v>50</v>
      </c>
      <c r="D24" s="38"/>
      <c r="E24" s="39"/>
      <c r="F24" s="13">
        <f>(F19/F21)*100</f>
        <v>92.16</v>
      </c>
    </row>
    <row r="25" spans="3:23" ht="21" customHeight="1">
      <c r="C25" s="8"/>
      <c r="D25" s="11"/>
      <c r="F25" s="31" t="s">
        <v>51</v>
      </c>
    </row>
  </sheetData>
  <mergeCells count="15">
    <mergeCell ref="C24:E24"/>
    <mergeCell ref="C12:E12"/>
    <mergeCell ref="D3:F3"/>
    <mergeCell ref="C4:F4"/>
    <mergeCell ref="C10:E10"/>
    <mergeCell ref="C23:F23"/>
    <mergeCell ref="C20:F20"/>
    <mergeCell ref="C21:E21"/>
    <mergeCell ref="C18:F18"/>
    <mergeCell ref="C19:E19"/>
    <mergeCell ref="C9:E9"/>
    <mergeCell ref="C7:E7"/>
    <mergeCell ref="C8:E8"/>
    <mergeCell ref="C6:E6"/>
    <mergeCell ref="C5:E5"/>
  </mergeCells>
  <pageMargins left="0.7" right="0.7" top="0.75" bottom="0.75" header="0.3" footer="0.3"/>
  <pageSetup scale="5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7B0707D4CC42498DF21D726E862B06" ma:contentTypeVersion="12" ma:contentTypeDescription="Create a new document." ma:contentTypeScope="" ma:versionID="0d779c013d84aafed5b0ea0de37207d5">
  <xsd:schema xmlns:xsd="http://www.w3.org/2001/XMLSchema" xmlns:xs="http://www.w3.org/2001/XMLSchema" xmlns:p="http://schemas.microsoft.com/office/2006/metadata/properties" xmlns:ns2="da1da8bc-82b9-40d5-9ee1-9b2e4a327a40" xmlns:ns3="e7ce9509-9079-4176-8a4b-ccba06313b7c" targetNamespace="http://schemas.microsoft.com/office/2006/metadata/properties" ma:root="true" ma:fieldsID="3ed4c45acf86677fb7c72fac4209e435" ns2:_="" ns3:_="">
    <xsd:import namespace="da1da8bc-82b9-40d5-9ee1-9b2e4a327a40"/>
    <xsd:import namespace="e7ce9509-9079-4176-8a4b-ccba06313b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1da8bc-82b9-40d5-9ee1-9b2e4a327a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8ab86591-d70f-4a96-900c-bfbe5e6a31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ce9509-9079-4176-8a4b-ccba06313b7c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51fe108-8684-442b-9094-3453d15c2843}" ma:internalName="TaxCatchAll" ma:showField="CatchAllData" ma:web="e7ce9509-9079-4176-8a4b-ccba06313b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7ce9509-9079-4176-8a4b-ccba06313b7c" xsi:nil="true"/>
    <lcf76f155ced4ddcb4097134ff3c332f xmlns="da1da8bc-82b9-40d5-9ee1-9b2e4a327a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D9DAFD4-373F-4AC9-ACA7-1BCFC37FF964}"/>
</file>

<file path=customXml/itemProps2.xml><?xml version="1.0" encoding="utf-8"?>
<ds:datastoreItem xmlns:ds="http://schemas.openxmlformats.org/officeDocument/2006/customXml" ds:itemID="{8AF95BE8-5365-47ED-A8FF-204645B888AF}"/>
</file>

<file path=customXml/itemProps3.xml><?xml version="1.0" encoding="utf-8"?>
<ds:datastoreItem xmlns:ds="http://schemas.openxmlformats.org/officeDocument/2006/customXml" ds:itemID="{0A39AC43-024B-4B4C-93BE-44300411B9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 Carnivale</dc:creator>
  <cp:keywords/>
  <dc:description/>
  <cp:lastModifiedBy>Kayleigh Ruth Rice</cp:lastModifiedBy>
  <cp:revision/>
  <dcterms:created xsi:type="dcterms:W3CDTF">2017-09-21T19:48:25Z</dcterms:created>
  <dcterms:modified xsi:type="dcterms:W3CDTF">2026-02-05T22:54:37Z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0x010100E97B0707D4CC42498DF21D726E862B06</vt:lpwstr>
  </property>
  <property fmtid="{D5CDD505-2E9C-101B-9397-08002B2CF9AE}" pid="3" name="MediaServiceImageTags">
    <vt:lpwstr/>
  </property>
</Properties>
</file>